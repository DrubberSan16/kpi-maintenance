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10" autoFilterDateGrouping="1"/>
  </bookViews>
  <sheets>
    <sheet name="MOTOR" sheetId="1" state="visible" r:id="rId1"/>
    <sheet name="INDUSTRTIAL" sheetId="2" state="hidden" r:id="rId2"/>
    <sheet name="DIFERENCIAL DELANTERO" sheetId="3" state="hidden" r:id="rId3"/>
    <sheet name="DIFERENCIAL POSTERIOR" sheetId="4" state="hidden" r:id="rId4"/>
    <sheet name="SWING" sheetId="5" state="hidden" r:id="rId5"/>
    <sheet name="ENGRANAJE DE LA BOMBA" sheetId="6" state="hidden" r:id="rId6"/>
    <sheet name="MANDO FINAL DERECHO" sheetId="7" state="hidden" r:id="rId7"/>
    <sheet name="MANDO FINAL IZQUIERDO" sheetId="8" state="hidden" r:id="rId8"/>
    <sheet name="TANDEM DERECHO" sheetId="9" state="hidden" r:id="rId9"/>
    <sheet name="TANDEM IZQUIERDO" sheetId="10" state="hidden" r:id="rId10"/>
    <sheet name="Instructivo" sheetId="11" state="visible" r:id="rId11"/>
  </sheets>
  <definedNames>
    <definedName name="_xlnm.Print_Area" localSheetId="0">'MOTOR'!$A$1:$AL$75</definedName>
    <definedName name="_xlnm.Print_Area" localSheetId="1">'INDUSTRTIAL'!$A$1:$W$75</definedName>
    <definedName name="_xlnm.Print_Area" localSheetId="2">'DIFERENCIAL DELANTERO'!$A$1:$W$75</definedName>
    <definedName name="_xlnm.Print_Area" localSheetId="3">'DIFERENCIAL POSTERIOR'!$A$1:$W$75</definedName>
    <definedName name="_xlnm.Print_Area" localSheetId="4">'SWING'!$A$1:$W$75</definedName>
    <definedName name="_xlnm.Print_Area" localSheetId="5">'ENGRANAJE DE LA BOMBA'!$A$1:$W$75</definedName>
    <definedName name="_xlnm.Print_Area" localSheetId="6">'MANDO FINAL DERECHO'!$A$1:$W$75</definedName>
    <definedName name="_xlnm.Print_Area" localSheetId="7">'MANDO FINAL IZQUIERDO'!$A$1:$W$75</definedName>
    <definedName name="_xlnm.Print_Area" localSheetId="8">'TANDEM DERECHO'!$A$1:$W$75</definedName>
    <definedName name="_xlnm.Print_Area" localSheetId="9">'TANDEM IZQUIERDO'!$A$1:$W$75</definedName>
    <definedName name="_xlnm.Print_Area" localSheetId="10">'Instructivo'!$A$1:$O$94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;@"/>
    <numFmt numFmtId="165" formatCode="0.0"/>
  </numFmts>
  <fonts count="44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57"/>
      <sz val="11"/>
    </font>
    <font>
      <name val="Calibri"/>
      <family val="2"/>
      <color indexed="30"/>
      <sz val="11"/>
    </font>
    <font>
      <name val="Georgia"/>
      <family val="1"/>
      <color indexed="8"/>
      <sz val="12"/>
    </font>
    <font>
      <name val="Calibri"/>
      <family val="2"/>
      <sz val="8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9"/>
      <scheme val="minor"/>
    </font>
    <font>
      <name val="Georgia"/>
      <family val="1"/>
      <b val="1"/>
      <color theme="1"/>
      <sz val="14"/>
    </font>
    <font>
      <name val="Georgia"/>
      <family val="1"/>
      <b val="1"/>
      <color rgb="FF000000"/>
      <sz val="12"/>
    </font>
    <font>
      <name val="Georgia"/>
      <family val="1"/>
      <color rgb="FF000000"/>
      <sz val="11"/>
    </font>
    <font>
      <name val="Georgia"/>
      <family val="1"/>
      <color theme="1"/>
      <sz val="12"/>
    </font>
    <font>
      <name val="Georgia"/>
      <family val="1"/>
      <b val="1"/>
      <color theme="0"/>
      <sz val="11"/>
    </font>
    <font>
      <name val="Georgia"/>
      <family val="1"/>
      <i val="1"/>
      <color rgb="FF000000"/>
      <sz val="12"/>
    </font>
    <font>
      <name val="Georgia"/>
      <family val="1"/>
      <color rgb="FF002060"/>
      <sz val="12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8"/>
      <scheme val="minor"/>
    </font>
    <font>
      <name val="Times New Roman"/>
      <family val="1"/>
      <color theme="1"/>
      <sz val="11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Arial Black"/>
      <family val="2"/>
      <b val="1"/>
      <color theme="0"/>
      <sz val="9"/>
    </font>
    <font>
      <name val="Calibri"/>
      <family val="2"/>
      <b val="1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1"/>
      <sz val="6"/>
      <scheme val="minor"/>
    </font>
    <font>
      <name val="Calibri"/>
      <family val="2"/>
      <b val="1"/>
      <color theme="1"/>
      <sz val="5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b val="1"/>
      <color theme="0"/>
      <sz val="10"/>
    </font>
    <font>
      <name val="Calibri"/>
      <family val="2"/>
      <b val="1"/>
      <color theme="0"/>
      <sz val="18"/>
      <scheme val="minor"/>
    </font>
    <font>
      <name val="Calibri"/>
      <family val="2"/>
      <b val="1"/>
      <sz val="18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sz val="12"/>
      <scheme val="minor"/>
    </font>
    <font>
      <name val="Arial Black"/>
      <family val="2"/>
      <b val="1"/>
      <color theme="0"/>
      <sz val="14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1"/>
      <sz val="16"/>
      <scheme val="minor"/>
    </font>
    <font>
      <name val="Georgia"/>
      <family val="1"/>
      <b val="1"/>
      <color theme="1"/>
      <sz val="20"/>
    </font>
    <font>
      <name val="Calibri"/>
      <family val="2"/>
      <color theme="0"/>
      <sz val="11"/>
      <scheme val="minor"/>
    </font>
    <font>
      <name val="Arial Black"/>
      <family val="2"/>
      <b val="1"/>
      <color theme="0"/>
      <sz val="16"/>
    </font>
    <font>
      <name val="Calibri"/>
      <family val="2"/>
      <color theme="1"/>
      <sz val="11"/>
      <scheme val="minor"/>
    </font>
    <font>
      <name val="Calibri"/>
      <family val="2"/>
      <b val="1"/>
      <sz val="10"/>
      <scheme val="minor"/>
    </font>
    <font>
      <name val="Calibri"/>
      <family val="2"/>
      <b val="1"/>
      <sz val="10"/>
    </font>
    <font>
      <name val="Calibri"/>
      <family val="2"/>
      <color theme="0"/>
      <sz val="9"/>
      <scheme val="minor"/>
    </font>
  </fonts>
  <fills count="2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</fills>
  <borders count="6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</borders>
  <cellStyleXfs count="3">
    <xf numFmtId="0" fontId="40" fillId="0" borderId="0"/>
    <xf numFmtId="0" fontId="1" fillId="0" borderId="0"/>
    <xf numFmtId="9" fontId="40" fillId="0" borderId="0"/>
  </cellStyleXfs>
  <cellXfs count="466">
    <xf numFmtId="0" fontId="0" fillId="0" borderId="0" pivotButton="0" quotePrefix="0" xfId="0"/>
    <xf numFmtId="0" fontId="7" fillId="0" borderId="0" pivotButton="0" quotePrefix="0" xfId="0"/>
    <xf numFmtId="0" fontId="7" fillId="0" borderId="1" pivotButton="0" quotePrefix="0" xfId="0"/>
    <xf numFmtId="0" fontId="7" fillId="0" borderId="2" pivotButton="0" quotePrefix="0" xfId="0"/>
    <xf numFmtId="0" fontId="7" fillId="0" borderId="3" pivotButton="0" quotePrefix="0" xfId="0"/>
    <xf numFmtId="0" fontId="8" fillId="0" borderId="0" pivotButton="0" quotePrefix="0" xfId="0"/>
    <xf numFmtId="0" fontId="7" fillId="2" borderId="4" applyAlignment="1" pivotButton="0" quotePrefix="0" xfId="0">
      <alignment horizontal="left"/>
    </xf>
    <xf numFmtId="0" fontId="7" fillId="0" borderId="4" pivotButton="0" quotePrefix="0" xfId="0"/>
    <xf numFmtId="0" fontId="7" fillId="2" borderId="4" pivotButton="0" quotePrefix="0" xfId="0"/>
    <xf numFmtId="0" fontId="7" fillId="0" borderId="5" pivotButton="0" quotePrefix="0" xfId="0"/>
    <xf numFmtId="0" fontId="7" fillId="0" borderId="6" pivotButton="0" quotePrefix="0" xfId="0"/>
    <xf numFmtId="0" fontId="7" fillId="0" borderId="7" pivotButton="0" quotePrefix="0" xfId="0"/>
    <xf numFmtId="21" fontId="0" fillId="0" borderId="0" pivotButton="0" quotePrefix="0" xfId="0"/>
    <xf numFmtId="14" fontId="0" fillId="0" borderId="0" pivotButton="0" quotePrefix="0" xfId="0"/>
    <xf numFmtId="0" fontId="7" fillId="2" borderId="8" applyAlignment="1" pivotButton="0" quotePrefix="0" xfId="0">
      <alignment horizontal="left"/>
    </xf>
    <xf numFmtId="0" fontId="7" fillId="2" borderId="9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7" fillId="0" borderId="10" pivotButton="0" quotePrefix="0" xfId="0"/>
    <xf numFmtId="0" fontId="7" fillId="3" borderId="4" pivotButton="0" quotePrefix="0" xfId="0"/>
    <xf numFmtId="0" fontId="7" fillId="3" borderId="0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4" borderId="0" pivotButton="0" quotePrefix="0" xfId="0"/>
    <xf numFmtId="0" fontId="0" fillId="5" borderId="0" pivotButton="0" quotePrefix="0" xfId="0"/>
    <xf numFmtId="0" fontId="8" fillId="0" borderId="5" pivotButton="0" quotePrefix="0" xfId="0"/>
    <xf numFmtId="0" fontId="6" fillId="0" borderId="11" applyAlignment="1" pivotButton="0" quotePrefix="0" xfId="0">
      <alignment horizontal="center"/>
    </xf>
    <xf numFmtId="0" fontId="6" fillId="0" borderId="12" applyAlignment="1" pivotButton="0" quotePrefix="0" xfId="0">
      <alignment horizontal="center"/>
    </xf>
    <xf numFmtId="0" fontId="6" fillId="0" borderId="13" applyAlignment="1" pivotButton="0" quotePrefix="0" xfId="0">
      <alignment horizontal="center"/>
    </xf>
    <xf numFmtId="0" fontId="8" fillId="2" borderId="5" pivotButton="0" quotePrefix="0" xfId="0"/>
    <xf numFmtId="0" fontId="6" fillId="0" borderId="5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6" fillId="0" borderId="15" applyAlignment="1" pivotButton="0" quotePrefix="0" xfId="0">
      <alignment horizontal="center"/>
    </xf>
    <xf numFmtId="0" fontId="6" fillId="0" borderId="16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9" fillId="6" borderId="17" applyAlignment="1" pivotButton="0" quotePrefix="0" xfId="0">
      <alignment horizontal="center" vertical="center"/>
    </xf>
    <xf numFmtId="0" fontId="9" fillId="5" borderId="18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19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8" borderId="17" applyAlignment="1" pivotButton="0" quotePrefix="0" xfId="0">
      <alignment horizontal="center" vertical="center"/>
    </xf>
    <xf numFmtId="0" fontId="13" fillId="9" borderId="17" applyAlignment="1" pivotButton="0" quotePrefix="0" xfId="0">
      <alignment horizontal="center" vertical="center"/>
    </xf>
    <xf numFmtId="0" fontId="13" fillId="10" borderId="17" applyAlignment="1" pivotButton="0" quotePrefix="0" xfId="0">
      <alignment horizontal="center" vertical="center"/>
    </xf>
    <xf numFmtId="0" fontId="12" fillId="0" borderId="20" pivotButton="0" quotePrefix="0" xfId="0"/>
    <xf numFmtId="0" fontId="12" fillId="0" borderId="21" pivotButton="0" quotePrefix="0" xfId="0"/>
    <xf numFmtId="0" fontId="12" fillId="0" borderId="19" pivotButton="0" quotePrefix="0" xfId="0"/>
    <xf numFmtId="0" fontId="12" fillId="0" borderId="0" applyAlignment="1" pivotButton="0" quotePrefix="0" xfId="0">
      <alignment horizontal="center"/>
    </xf>
    <xf numFmtId="0" fontId="12" fillId="0" borderId="22" pivotButton="0" quotePrefix="0" xfId="0"/>
    <xf numFmtId="0" fontId="12" fillId="0" borderId="23" pivotButton="0" quotePrefix="0" xfId="0"/>
    <xf numFmtId="0" fontId="12" fillId="0" borderId="22" applyAlignment="1" pivotButton="0" quotePrefix="0" xfId="0">
      <alignment horizontal="center"/>
    </xf>
    <xf numFmtId="0" fontId="12" fillId="0" borderId="23" applyAlignment="1" pivotButton="0" quotePrefix="0" xfId="0">
      <alignment horizontal="center"/>
    </xf>
    <xf numFmtId="0" fontId="12" fillId="0" borderId="24" pivotButton="0" quotePrefix="0" xfId="0"/>
    <xf numFmtId="0" fontId="12" fillId="0" borderId="15" pivotButton="0" quotePrefix="0" xfId="0"/>
    <xf numFmtId="0" fontId="12" fillId="0" borderId="25" pivotButton="0" quotePrefix="0" xfId="0"/>
    <xf numFmtId="0" fontId="4" fillId="0" borderId="26" applyAlignment="1" pivotButton="0" quotePrefix="0" xfId="0">
      <alignment vertical="center" wrapText="1" readingOrder="1"/>
    </xf>
    <xf numFmtId="0" fontId="14" fillId="0" borderId="27" applyAlignment="1" pivotButton="0" quotePrefix="0" xfId="0">
      <alignment vertical="center" wrapText="1" readingOrder="1"/>
    </xf>
    <xf numFmtId="0" fontId="14" fillId="0" borderId="28" applyAlignment="1" pivotButton="0" quotePrefix="0" xfId="0">
      <alignment vertical="center" wrapText="1" readingOrder="1"/>
    </xf>
    <xf numFmtId="0" fontId="14" fillId="0" borderId="22" applyAlignment="1" pivotButton="0" quotePrefix="0" xfId="0">
      <alignment vertical="center" wrapText="1" readingOrder="1"/>
    </xf>
    <xf numFmtId="0" fontId="14" fillId="0" borderId="0" applyAlignment="1" pivotButton="0" quotePrefix="0" xfId="0">
      <alignment vertical="center" wrapText="1" readingOrder="1"/>
    </xf>
    <xf numFmtId="0" fontId="14" fillId="0" borderId="23" applyAlignment="1" pivotButton="0" quotePrefix="0" xfId="0">
      <alignment vertical="center" wrapText="1" readingOrder="1"/>
    </xf>
    <xf numFmtId="0" fontId="15" fillId="0" borderId="17" applyAlignment="1" pivotButton="0" quotePrefix="0" xfId="0">
      <alignment horizontal="left" vertical="center" wrapText="1"/>
    </xf>
    <xf numFmtId="0" fontId="15" fillId="0" borderId="18" applyAlignment="1" pivotButton="0" quotePrefix="0" xfId="0">
      <alignment horizontal="left" vertical="center" wrapText="1"/>
    </xf>
    <xf numFmtId="0" fontId="15" fillId="0" borderId="18" applyAlignment="1" pivotButton="0" quotePrefix="0" xfId="0">
      <alignment horizontal="left" vertical="center"/>
    </xf>
    <xf numFmtId="0" fontId="15" fillId="0" borderId="3" applyAlignment="1" pivotButton="0" quotePrefix="0" xfId="0">
      <alignment horizontal="left" vertical="center" wrapText="1"/>
    </xf>
    <xf numFmtId="0" fontId="15" fillId="0" borderId="19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0" fillId="0" borderId="0" pivotButton="0" quotePrefix="1" xfId="0"/>
    <xf numFmtId="0" fontId="16" fillId="0" borderId="0" applyAlignment="1" pivotButton="0" quotePrefix="0" xfId="0">
      <alignment vertical="top" wrapText="1"/>
    </xf>
    <xf numFmtId="0" fontId="16" fillId="0" borderId="5" applyAlignment="1" pivotButton="0" quotePrefix="0" xfId="0">
      <alignment vertical="top" wrapText="1"/>
    </xf>
    <xf numFmtId="0" fontId="0" fillId="0" borderId="10" pivotButton="0" quotePrefix="0" xfId="0"/>
    <xf numFmtId="0" fontId="8" fillId="0" borderId="2" pivotButton="0" quotePrefix="0" xfId="0"/>
    <xf numFmtId="0" fontId="7" fillId="3" borderId="2" pivotButton="0" quotePrefix="0" xfId="0"/>
    <xf numFmtId="0" fontId="17" fillId="3" borderId="2" applyAlignment="1" pivotButton="0" quotePrefix="0" xfId="0">
      <alignment vertical="center" wrapText="1"/>
    </xf>
    <xf numFmtId="0" fontId="17" fillId="3" borderId="2" applyAlignment="1" pivotButton="0" quotePrefix="0" xfId="0">
      <alignment vertical="center"/>
    </xf>
    <xf numFmtId="0" fontId="7" fillId="3" borderId="10" pivotButton="0" quotePrefix="0" xfId="0"/>
    <xf numFmtId="0" fontId="7" fillId="3" borderId="5" pivotButton="0" quotePrefix="0" xfId="0"/>
    <xf numFmtId="0" fontId="8" fillId="3" borderId="29" pivotButton="0" quotePrefix="0" xfId="0"/>
    <xf numFmtId="0" fontId="7" fillId="0" borderId="0" applyAlignment="1" pivotButton="0" quotePrefix="0" xfId="0">
      <alignment horizontal="center"/>
    </xf>
    <xf numFmtId="0" fontId="12" fillId="0" borderId="22" applyAlignment="1" pivotButton="0" quotePrefix="0" xfId="0">
      <alignment horizontal="center" wrapText="1"/>
    </xf>
    <xf numFmtId="0" fontId="13" fillId="11" borderId="17" applyAlignment="1" pivotButton="0" quotePrefix="0" xfId="0">
      <alignment horizontal="center" vertical="center"/>
    </xf>
    <xf numFmtId="0" fontId="16" fillId="0" borderId="2" applyAlignment="1" pivotButton="0" quotePrefix="0" xfId="0">
      <alignment vertical="top" wrapText="1"/>
    </xf>
    <xf numFmtId="0" fontId="7" fillId="0" borderId="30" pivotButton="0" quotePrefix="0" xfId="0"/>
    <xf numFmtId="0" fontId="8" fillId="0" borderId="10" pivotButton="0" quotePrefix="0" xfId="0"/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64" fontId="20" fillId="0" borderId="8" applyAlignment="1" pivotButton="0" quotePrefix="0" xfId="0">
      <alignment horizontal="center" vertical="center"/>
    </xf>
    <xf numFmtId="0" fontId="20" fillId="3" borderId="29" applyAlignment="1" pivotButton="0" quotePrefix="0" xfId="0">
      <alignment horizontal="center" vertical="center"/>
    </xf>
    <xf numFmtId="165" fontId="20" fillId="0" borderId="8" applyAlignment="1" pivotButton="0" quotePrefix="1" xfId="0">
      <alignment horizontal="center" vertical="center"/>
    </xf>
    <xf numFmtId="2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65" fontId="20" fillId="0" borderId="8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9" fontId="24" fillId="12" borderId="6" applyAlignment="1" pivotButton="0" quotePrefix="0" xfId="0">
      <alignment horizontal="center" vertical="center"/>
    </xf>
    <xf numFmtId="49" fontId="24" fillId="12" borderId="30" applyAlignment="1" pivotButton="0" quotePrefix="0" xfId="0">
      <alignment horizontal="center" vertical="center"/>
    </xf>
    <xf numFmtId="9" fontId="24" fillId="13" borderId="1" applyAlignment="1" pivotButton="0" quotePrefix="0" xfId="0">
      <alignment horizontal="center" vertical="center"/>
    </xf>
    <xf numFmtId="49" fontId="24" fillId="13" borderId="30" applyAlignment="1" pivotButton="0" quotePrefix="0" xfId="0">
      <alignment horizontal="center" vertical="center"/>
    </xf>
    <xf numFmtId="0" fontId="24" fillId="14" borderId="35" applyAlignment="1" pivotButton="0" quotePrefix="0" xfId="0">
      <alignment horizontal="center" vertical="center"/>
    </xf>
    <xf numFmtId="0" fontId="24" fillId="14" borderId="36" applyAlignment="1" pivotButton="0" quotePrefix="0" xfId="0">
      <alignment horizontal="center" vertical="center"/>
    </xf>
    <xf numFmtId="0" fontId="25" fillId="12" borderId="37" applyAlignment="1" pivotButton="0" quotePrefix="0" xfId="0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6" fillId="14" borderId="36" applyAlignment="1" pivotButton="0" quotePrefix="0" xfId="0">
      <alignment horizontal="center" vertical="center"/>
    </xf>
    <xf numFmtId="0" fontId="25" fillId="12" borderId="38" applyAlignment="1" pivotButton="0" quotePrefix="0" xfId="0">
      <alignment horizontal="center" vertical="center"/>
    </xf>
    <xf numFmtId="0" fontId="25" fillId="13" borderId="35" applyAlignment="1" pivotButton="0" quotePrefix="0" xfId="0">
      <alignment horizontal="center" vertical="center"/>
    </xf>
    <xf numFmtId="0" fontId="25" fillId="13" borderId="38" applyAlignment="1" pivotButton="0" quotePrefix="0" xfId="0">
      <alignment horizontal="center" vertical="center"/>
    </xf>
    <xf numFmtId="0" fontId="27" fillId="0" borderId="39" applyAlignment="1" pivotButton="0" quotePrefix="0" xfId="0">
      <alignment horizontal="center" vertical="center"/>
    </xf>
    <xf numFmtId="165" fontId="27" fillId="12" borderId="40" applyAlignment="1" pivotButton="0" quotePrefix="0" xfId="0">
      <alignment horizontal="center" vertical="center"/>
    </xf>
    <xf numFmtId="0" fontId="27" fillId="4" borderId="41" applyAlignment="1" pivotButton="0" quotePrefix="1" xfId="0">
      <alignment horizontal="center" vertical="center"/>
    </xf>
    <xf numFmtId="0" fontId="27" fillId="14" borderId="41" applyAlignment="1" pivotButton="0" quotePrefix="0" xfId="0">
      <alignment horizontal="center" vertical="center"/>
    </xf>
    <xf numFmtId="165" fontId="27" fillId="12" borderId="42" applyAlignment="1" pivotButton="0" quotePrefix="0" xfId="0">
      <alignment horizontal="center" vertical="center"/>
    </xf>
    <xf numFmtId="165" fontId="27" fillId="13" borderId="43" applyAlignment="1" pivotButton="0" quotePrefix="0" xfId="0">
      <alignment horizontal="center" vertical="center"/>
    </xf>
    <xf numFmtId="165" fontId="27" fillId="13" borderId="42" applyAlignment="1" pivotButton="0" quotePrefix="0" xfId="0">
      <alignment horizontal="center" vertical="center"/>
    </xf>
    <xf numFmtId="0" fontId="0" fillId="13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8" borderId="0" pivotButton="0" quotePrefix="0" xfId="0"/>
    <xf numFmtId="0" fontId="19" fillId="0" borderId="31" applyAlignment="1" pivotButton="0" quotePrefix="0" xfId="0">
      <alignment horizontal="right" vertical="center"/>
    </xf>
    <xf numFmtId="1" fontId="22" fillId="0" borderId="32" applyAlignment="1" pivotButton="0" quotePrefix="0" xfId="0">
      <alignment horizontal="left" vertical="center"/>
    </xf>
    <xf numFmtId="1" fontId="22" fillId="0" borderId="32" applyAlignment="1" pivotButton="0" quotePrefix="1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23" fillId="0" borderId="0" pivotButton="0" quotePrefix="0" xfId="0"/>
    <xf numFmtId="0" fontId="23" fillId="0" borderId="29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38" fillId="0" borderId="0" pivotButton="0" quotePrefix="0" xfId="0"/>
    <xf numFmtId="0" fontId="7" fillId="0" borderId="50" pivotButton="0" quotePrefix="0" xfId="0"/>
    <xf numFmtId="0" fontId="18" fillId="0" borderId="51" pivotButton="0" quotePrefix="0" xfId="0"/>
    <xf numFmtId="0" fontId="7" fillId="0" borderId="51" pivotButton="0" quotePrefix="0" xfId="0"/>
    <xf numFmtId="0" fontId="28" fillId="0" borderId="31" applyAlignment="1" pivotButton="0" quotePrefix="0" xfId="0">
      <alignment horizontal="right" vertical="center"/>
    </xf>
    <xf numFmtId="165" fontId="29" fillId="0" borderId="32" applyAlignment="1" pivotButton="0" quotePrefix="1" xfId="0">
      <alignment horizontal="left" vertical="center"/>
    </xf>
    <xf numFmtId="0" fontId="28" fillId="0" borderId="31" applyAlignment="1" pivotButton="0" quotePrefix="1" xfId="0">
      <alignment horizontal="right" vertical="center"/>
    </xf>
    <xf numFmtId="165" fontId="22" fillId="0" borderId="32" applyAlignment="1" pivotButton="0" quotePrefix="1" xfId="0">
      <alignment horizontal="left" vertical="center"/>
    </xf>
    <xf numFmtId="0" fontId="19" fillId="0" borderId="33" applyAlignment="1" pivotButton="0" quotePrefix="0" xfId="0">
      <alignment horizontal="right" vertical="center"/>
    </xf>
    <xf numFmtId="1" fontId="22" fillId="0" borderId="34" applyAlignment="1" pivotButton="0" quotePrefix="1" xfId="0">
      <alignment horizontal="left" vertical="center"/>
    </xf>
    <xf numFmtId="1" fontId="22" fillId="0" borderId="34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/>
    </xf>
    <xf numFmtId="0" fontId="18" fillId="0" borderId="18" pivotButton="0" quotePrefix="0" xfId="0"/>
    <xf numFmtId="0" fontId="7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7" fillId="0" borderId="5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6" fillId="0" borderId="2" applyAlignment="1" applyProtection="1" pivotButton="0" quotePrefix="0" xfId="0">
      <alignment horizontal="center"/>
      <protection locked="0" hidden="0"/>
    </xf>
    <xf numFmtId="0" fontId="16" fillId="0" borderId="5" applyAlignment="1" applyProtection="1" pivotButton="0" quotePrefix="0" xfId="0">
      <alignment vertical="top" wrapText="1"/>
      <protection locked="0" hidden="0"/>
    </xf>
    <xf numFmtId="0" fontId="16" fillId="0" borderId="0" applyAlignment="1" applyProtection="1" pivotButton="0" quotePrefix="0" xfId="0">
      <alignment vertical="top" wrapText="1"/>
      <protection locked="0" hidden="0"/>
    </xf>
    <xf numFmtId="0" fontId="16" fillId="0" borderId="2" applyAlignment="1" applyProtection="1" pivotButton="0" quotePrefix="0" xfId="0">
      <alignment vertical="top" wrapText="1"/>
      <protection locked="0" hidden="0"/>
    </xf>
    <xf numFmtId="0" fontId="8" fillId="0" borderId="0" applyProtection="1" pivotButton="0" quotePrefix="0" xfId="0">
      <protection locked="0" hidden="0"/>
    </xf>
    <xf numFmtId="0" fontId="8" fillId="0" borderId="2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20" fillId="0" borderId="8" applyAlignment="1" applyProtection="1" pivotButton="0" quotePrefix="0" xfId="0">
      <alignment horizontal="left" vertical="center"/>
      <protection locked="0" hidden="0"/>
    </xf>
    <xf numFmtId="0" fontId="20" fillId="0" borderId="8" applyAlignment="1" applyProtection="1" pivotButton="0" quotePrefix="0" xfId="0">
      <alignment horizontal="center" vertical="center"/>
      <protection locked="0" hidden="0"/>
    </xf>
    <xf numFmtId="0" fontId="7" fillId="0" borderId="2" applyProtection="1" pivotButton="0" quotePrefix="0" xfId="0">
      <protection locked="0" hidden="0"/>
    </xf>
    <xf numFmtId="164" fontId="20" fillId="0" borderId="8" applyAlignment="1" applyProtection="1" pivotButton="0" quotePrefix="0" xfId="0">
      <alignment horizontal="center" vertical="center"/>
      <protection locked="0" hidden="0"/>
    </xf>
    <xf numFmtId="0" fontId="21" fillId="0" borderId="8" applyAlignment="1" applyProtection="1" pivotButton="0" quotePrefix="0" xfId="0">
      <alignment horizontal="center" vertical="center"/>
      <protection locked="0" hidden="0"/>
    </xf>
    <xf numFmtId="0" fontId="20" fillId="3" borderId="29" applyAlignment="1" applyProtection="1" pivotButton="0" quotePrefix="0" xfId="0">
      <alignment horizontal="center" vertical="center"/>
      <protection locked="0" hidden="0"/>
    </xf>
    <xf numFmtId="165" fontId="20" fillId="0" borderId="8" applyAlignment="1" applyProtection="1" pivotButton="0" quotePrefix="1" xfId="0">
      <alignment horizontal="center" vertical="center"/>
      <protection locked="0" hidden="0"/>
    </xf>
    <xf numFmtId="0" fontId="28" fillId="0" borderId="31" applyAlignment="1" applyProtection="1" pivotButton="0" quotePrefix="0" xfId="0">
      <alignment horizontal="right" vertical="center"/>
      <protection locked="0" hidden="0"/>
    </xf>
    <xf numFmtId="165" fontId="29" fillId="0" borderId="32" applyAlignment="1" applyProtection="1" pivotButton="0" quotePrefix="1" xfId="0">
      <alignment horizontal="left" vertical="center"/>
      <protection locked="0" hidden="0"/>
    </xf>
    <xf numFmtId="0" fontId="28" fillId="0" borderId="31" applyAlignment="1" applyProtection="1" pivotButton="0" quotePrefix="1" xfId="0">
      <alignment horizontal="right" vertical="center"/>
      <protection locked="0" hidden="0"/>
    </xf>
    <xf numFmtId="1" fontId="20" fillId="0" borderId="8" applyAlignment="1" applyProtection="1" pivotButton="0" quotePrefix="0" xfId="0">
      <alignment horizontal="center" vertical="center"/>
      <protection locked="0" hidden="0"/>
    </xf>
    <xf numFmtId="0" fontId="19" fillId="0" borderId="31" applyAlignment="1" applyProtection="1" pivotButton="0" quotePrefix="0" xfId="0">
      <alignment horizontal="right" vertical="center"/>
      <protection locked="0" hidden="0"/>
    </xf>
    <xf numFmtId="165" fontId="22" fillId="0" borderId="32" applyAlignment="1" applyProtection="1" pivotButton="0" quotePrefix="1" xfId="0">
      <alignment horizontal="left" vertical="center"/>
      <protection locked="0" hidden="0"/>
    </xf>
    <xf numFmtId="165" fontId="19" fillId="0" borderId="8" applyAlignment="1" applyProtection="1" pivotButton="0" quotePrefix="1" xfId="0">
      <alignment horizontal="center" vertical="center"/>
      <protection locked="0" hidden="0"/>
    </xf>
    <xf numFmtId="0" fontId="8" fillId="0" borderId="0" applyAlignment="1" applyProtection="1" pivotButton="0" quotePrefix="0" xfId="0">
      <alignment horizontal="center"/>
      <protection locked="0" hidden="0"/>
    </xf>
    <xf numFmtId="0" fontId="19" fillId="0" borderId="33" applyAlignment="1" applyProtection="1" pivotButton="0" quotePrefix="0" xfId="0">
      <alignment horizontal="right" vertical="center"/>
      <protection locked="0" hidden="0"/>
    </xf>
    <xf numFmtId="1" fontId="22" fillId="0" borderId="34" applyAlignment="1" applyProtection="1" pivotButton="0" quotePrefix="1" xfId="0">
      <alignment horizontal="left" vertical="center"/>
      <protection locked="0" hidden="0"/>
    </xf>
    <xf numFmtId="1" fontId="22" fillId="0" borderId="34" applyAlignment="1" applyProtection="1" pivotButton="0" quotePrefix="0" xfId="0">
      <alignment horizontal="left" vertical="center"/>
      <protection locked="0" hidden="0"/>
    </xf>
    <xf numFmtId="0" fontId="7" fillId="3" borderId="5" applyProtection="1" pivotButton="0" quotePrefix="0" xfId="0">
      <protection locked="0" hidden="0"/>
    </xf>
    <xf numFmtId="0" fontId="7" fillId="3" borderId="2" applyProtection="1" pivotButton="0" quotePrefix="0" xfId="0">
      <protection locked="0" hidden="0"/>
    </xf>
    <xf numFmtId="0" fontId="7" fillId="3" borderId="0" applyProtection="1" pivotButton="0" quotePrefix="0" xfId="0">
      <protection locked="0" hidden="0"/>
    </xf>
    <xf numFmtId="0" fontId="23" fillId="0" borderId="0" applyProtection="1" pivotButton="0" quotePrefix="0" xfId="0">
      <protection locked="0" hidden="0"/>
    </xf>
    <xf numFmtId="0" fontId="23" fillId="0" borderId="0" applyAlignment="1" applyProtection="1" pivotButton="0" quotePrefix="0" xfId="0">
      <alignment horizontal="center"/>
      <protection locked="0" hidden="0"/>
    </xf>
    <xf numFmtId="165" fontId="20" fillId="0" borderId="8" applyAlignment="1" applyProtection="1" pivotButton="0" quotePrefix="0" xfId="0">
      <alignment horizontal="center" vertical="center"/>
      <protection locked="0" hidden="0"/>
    </xf>
    <xf numFmtId="1" fontId="22" fillId="0" borderId="32" applyAlignment="1" applyProtection="1" pivotButton="0" quotePrefix="0" xfId="0">
      <alignment horizontal="left" vertical="center"/>
      <protection locked="0" hidden="0"/>
    </xf>
    <xf numFmtId="1" fontId="22" fillId="0" borderId="32" applyAlignment="1" applyProtection="1" pivotButton="0" quotePrefix="1" xfId="0">
      <alignment horizontal="left" vertical="center"/>
      <protection locked="0" hidden="0"/>
    </xf>
    <xf numFmtId="0" fontId="17" fillId="3" borderId="2" applyAlignment="1" applyProtection="1" pivotButton="0" quotePrefix="0" xfId="0">
      <alignment vertical="center"/>
      <protection locked="0" hidden="0"/>
    </xf>
    <xf numFmtId="0" fontId="19" fillId="0" borderId="0" applyAlignment="1" applyProtection="1" pivotButton="0" quotePrefix="0" xfId="0">
      <alignment horizontal="center" vertical="center"/>
      <protection locked="0" hidden="0"/>
    </xf>
    <xf numFmtId="0" fontId="17" fillId="3" borderId="2" applyAlignment="1" applyProtection="1" pivotButton="0" quotePrefix="0" xfId="0">
      <alignment vertical="center" wrapText="1"/>
      <protection locked="0" hidden="0"/>
    </xf>
    <xf numFmtId="0" fontId="23" fillId="0" borderId="29" applyAlignment="1" applyProtection="1" pivotButton="0" quotePrefix="0" xfId="0">
      <alignment horizontal="center" vertical="center"/>
      <protection locked="0" hidden="0"/>
    </xf>
    <xf numFmtId="0" fontId="23" fillId="0" borderId="0" applyAlignment="1" applyProtection="1" pivotButton="0" quotePrefix="0" xfId="0">
      <alignment horizontal="center" vertical="center"/>
      <protection locked="0" hidden="0"/>
    </xf>
    <xf numFmtId="0" fontId="7" fillId="0" borderId="7" applyProtection="1" pivotButton="0" quotePrefix="0" xfId="0">
      <protection locked="0" hidden="0"/>
    </xf>
    <xf numFmtId="0" fontId="8" fillId="3" borderId="29" applyProtection="1" pivotButton="0" quotePrefix="0" xfId="0">
      <protection locked="0" hidden="0"/>
    </xf>
    <xf numFmtId="0" fontId="7" fillId="3" borderId="10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7" fillId="0" borderId="3" applyProtection="1" pivotButton="0" quotePrefix="0" xfId="0">
      <protection locked="0" hidden="0"/>
    </xf>
    <xf numFmtId="0" fontId="7" fillId="0" borderId="6" applyProtection="1" pivotButton="0" quotePrefix="0" xfId="0">
      <protection locked="0" hidden="0"/>
    </xf>
    <xf numFmtId="0" fontId="7" fillId="0" borderId="1" applyProtection="1" pivotButton="0" quotePrefix="0" xfId="0">
      <protection locked="0" hidden="0"/>
    </xf>
    <xf numFmtId="0" fontId="7" fillId="0" borderId="30" applyProtection="1" pivotButton="0" quotePrefix="0" xfId="0">
      <protection locked="0" hidden="0"/>
    </xf>
    <xf numFmtId="0" fontId="7" fillId="0" borderId="10" applyProtection="1" pivotButton="0" quotePrefix="0" xfId="0">
      <protection locked="0" hidden="0"/>
    </xf>
    <xf numFmtId="0" fontId="8" fillId="0" borderId="10" applyProtection="1" pivotButton="0" quotePrefix="0" xfId="0">
      <protection locked="0" hidden="0"/>
    </xf>
    <xf numFmtId="0" fontId="18" fillId="0" borderId="10" applyProtection="1" pivotButton="0" quotePrefix="0" xfId="0">
      <protection locked="0" hidden="0"/>
    </xf>
    <xf numFmtId="0" fontId="20" fillId="0" borderId="8" applyAlignment="1" pivotButton="0" quotePrefix="1" xfId="0">
      <alignment horizontal="center" vertical="center"/>
    </xf>
    <xf numFmtId="0" fontId="20" fillId="0" borderId="8" applyAlignment="1" applyProtection="1" pivotButton="0" quotePrefix="1" xfId="0">
      <alignment horizontal="center" vertical="center"/>
      <protection locked="0" hidden="0"/>
    </xf>
    <xf numFmtId="0" fontId="6" fillId="0" borderId="0" pivotButton="0" quotePrefix="0" xfId="0"/>
    <xf numFmtId="0" fontId="0" fillId="0" borderId="55" applyAlignment="1" pivotButton="0" quotePrefix="0" xfId="0">
      <alignment horizontal="center" vertical="center"/>
    </xf>
    <xf numFmtId="1" fontId="0" fillId="0" borderId="56" applyAlignment="1" pivotButton="0" quotePrefix="0" xfId="0">
      <alignment horizontal="center" vertical="center"/>
    </xf>
    <xf numFmtId="0" fontId="41" fillId="0" borderId="31" applyAlignment="1" pivotButton="0" quotePrefix="0" xfId="0">
      <alignment horizontal="right" vertical="center"/>
    </xf>
    <xf numFmtId="165" fontId="42" fillId="0" borderId="32" applyAlignment="1" pivotButton="0" quotePrefix="1" xfId="0">
      <alignment horizontal="left" vertical="center"/>
    </xf>
    <xf numFmtId="0" fontId="41" fillId="0" borderId="31" applyAlignment="1" pivotButton="0" quotePrefix="1" xfId="0">
      <alignment horizontal="right" vertical="center"/>
    </xf>
    <xf numFmtId="9" fontId="43" fillId="0" borderId="0" pivotButton="0" quotePrefix="0" xfId="2"/>
    <xf numFmtId="165" fontId="43" fillId="0" borderId="2" applyAlignment="1" pivotButton="0" quotePrefix="0" xfId="0">
      <alignment horizontal="center"/>
    </xf>
    <xf numFmtId="0" fontId="19" fillId="0" borderId="31" applyAlignment="1" pivotButton="0" quotePrefix="0" xfId="0">
      <alignment horizontal="center" vertical="center"/>
    </xf>
    <xf numFmtId="0" fontId="19" fillId="0" borderId="29" applyAlignment="1" pivotButton="0" quotePrefix="0" xfId="0">
      <alignment horizontal="center" vertical="center"/>
    </xf>
    <xf numFmtId="0" fontId="19" fillId="0" borderId="32" applyAlignment="1" pivotButton="0" quotePrefix="0" xfId="0">
      <alignment horizontal="center" vertical="center"/>
    </xf>
    <xf numFmtId="0" fontId="33" fillId="23" borderId="8" applyAlignment="1" pivotButton="0" quotePrefix="0" xfId="0">
      <alignment horizontal="center" vertical="center"/>
    </xf>
    <xf numFmtId="0" fontId="19" fillId="0" borderId="8" applyAlignment="1" pivotButton="0" quotePrefix="0" xfId="0">
      <alignment horizontal="center" vertical="center"/>
    </xf>
    <xf numFmtId="0" fontId="6" fillId="23" borderId="8" applyAlignment="1" pivotButton="0" quotePrefix="0" xfId="0">
      <alignment horizontal="center" vertical="center"/>
    </xf>
    <xf numFmtId="0" fontId="6" fillId="23" borderId="49" applyAlignment="1" pivotButton="0" quotePrefix="0" xfId="0">
      <alignment horizontal="center" vertical="center"/>
    </xf>
    <xf numFmtId="0" fontId="36" fillId="0" borderId="6" applyAlignment="1" pivotButton="0" quotePrefix="0" xfId="0">
      <alignment horizontal="left" vertical="center" wrapText="1"/>
    </xf>
    <xf numFmtId="0" fontId="36" fillId="0" borderId="1" applyAlignment="1" pivotButton="0" quotePrefix="0" xfId="0">
      <alignment horizontal="left" vertical="center" wrapText="1"/>
    </xf>
    <xf numFmtId="0" fontId="36" fillId="0" borderId="30" applyAlignment="1" pivotButton="0" quotePrefix="0" xfId="0">
      <alignment horizontal="left" vertical="center" wrapText="1"/>
    </xf>
    <xf numFmtId="0" fontId="36" fillId="0" borderId="5" applyAlignment="1" pivotButton="0" quotePrefix="0" xfId="0">
      <alignment horizontal="left" vertical="center" wrapText="1"/>
    </xf>
    <xf numFmtId="0" fontId="36" fillId="0" borderId="0" applyAlignment="1" pivotButton="0" quotePrefix="0" xfId="0">
      <alignment horizontal="left" vertical="center" wrapText="1"/>
    </xf>
    <xf numFmtId="0" fontId="36" fillId="0" borderId="2" applyAlignment="1" pivotButton="0" quotePrefix="0" xfId="0">
      <alignment horizontal="left" vertical="center" wrapText="1"/>
    </xf>
    <xf numFmtId="0" fontId="36" fillId="0" borderId="7" applyAlignment="1" pivotButton="0" quotePrefix="0" xfId="0">
      <alignment horizontal="left" vertical="center" wrapText="1"/>
    </xf>
    <xf numFmtId="0" fontId="36" fillId="0" borderId="10" applyAlignment="1" pivotButton="0" quotePrefix="0" xfId="0">
      <alignment horizontal="left" vertical="center" wrapText="1"/>
    </xf>
    <xf numFmtId="0" fontId="36" fillId="0" borderId="3" applyAlignment="1" pivotButton="0" quotePrefix="0" xfId="0">
      <alignment horizontal="left" vertical="center" wrapText="1"/>
    </xf>
    <xf numFmtId="0" fontId="32" fillId="23" borderId="8" applyAlignment="1" pivotButton="0" quotePrefix="0" xfId="0">
      <alignment horizontal="left" vertical="center"/>
    </xf>
    <xf numFmtId="0" fontId="32" fillId="23" borderId="46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/>
    </xf>
    <xf numFmtId="0" fontId="7" fillId="0" borderId="44" applyAlignment="1" pivotButton="0" quotePrefix="0" xfId="0">
      <alignment horizontal="center"/>
    </xf>
    <xf numFmtId="0" fontId="35" fillId="2" borderId="50" applyAlignment="1" pivotButton="0" quotePrefix="0" xfId="0">
      <alignment horizontal="center" vertical="center"/>
    </xf>
    <xf numFmtId="0" fontId="35" fillId="2" borderId="51" applyAlignment="1" pivotButton="0" quotePrefix="0" xfId="0">
      <alignment horizontal="center" vertical="center"/>
    </xf>
    <xf numFmtId="0" fontId="35" fillId="2" borderId="18" applyAlignment="1" pivotButton="0" quotePrefix="0" xfId="0">
      <alignment horizontal="center" vertical="center"/>
    </xf>
    <xf numFmtId="0" fontId="7" fillId="23" borderId="6" applyAlignment="1" pivotButton="0" quotePrefix="0" xfId="0">
      <alignment horizontal="center"/>
    </xf>
    <xf numFmtId="0" fontId="7" fillId="23" borderId="35" applyAlignment="1" pivotButton="0" quotePrefix="0" xfId="0">
      <alignment horizontal="center"/>
    </xf>
    <xf numFmtId="0" fontId="7" fillId="23" borderId="5" applyAlignment="1" pivotButton="0" quotePrefix="0" xfId="0">
      <alignment horizontal="center"/>
    </xf>
    <xf numFmtId="0" fontId="7" fillId="23" borderId="45" applyAlignment="1" pivotButton="0" quotePrefix="0" xfId="0">
      <alignment horizontal="center"/>
    </xf>
    <xf numFmtId="0" fontId="7" fillId="23" borderId="7" applyAlignment="1" pivotButton="0" quotePrefix="0" xfId="0">
      <alignment horizontal="center"/>
    </xf>
    <xf numFmtId="0" fontId="7" fillId="23" borderId="52" applyAlignment="1" pivotButton="0" quotePrefix="0" xfId="0">
      <alignment horizontal="center"/>
    </xf>
    <xf numFmtId="0" fontId="32" fillId="23" borderId="48" applyAlignment="1" pivotButton="0" quotePrefix="0" xfId="0">
      <alignment horizontal="left" vertical="center"/>
    </xf>
    <xf numFmtId="0" fontId="32" fillId="23" borderId="1" applyAlignment="1" pivotButton="0" quotePrefix="0" xfId="0">
      <alignment horizontal="left" vertical="center"/>
    </xf>
    <xf numFmtId="0" fontId="32" fillId="23" borderId="35" applyAlignment="1" pivotButton="0" quotePrefix="0" xfId="0">
      <alignment horizontal="left" vertical="center"/>
    </xf>
    <xf numFmtId="0" fontId="32" fillId="23" borderId="44" applyAlignment="1" pivotButton="0" quotePrefix="0" xfId="0">
      <alignment horizontal="left" vertical="center"/>
    </xf>
    <xf numFmtId="0" fontId="32" fillId="23" borderId="0" applyAlignment="1" pivotButton="0" quotePrefix="0" xfId="0">
      <alignment horizontal="left" vertical="center"/>
    </xf>
    <xf numFmtId="0" fontId="32" fillId="23" borderId="45" applyAlignment="1" pivotButton="0" quotePrefix="0" xfId="0">
      <alignment horizontal="left" vertical="center"/>
    </xf>
    <xf numFmtId="0" fontId="32" fillId="23" borderId="41" applyAlignment="1" pivotButton="0" quotePrefix="0" xfId="0">
      <alignment horizontal="left" vertical="center"/>
    </xf>
    <xf numFmtId="0" fontId="30" fillId="18" borderId="41" applyAlignment="1" pivotButton="0" quotePrefix="0" xfId="0">
      <alignment horizontal="center" vertical="center"/>
    </xf>
    <xf numFmtId="0" fontId="30" fillId="18" borderId="42" applyAlignment="1" pivotButton="0" quotePrefix="0" xfId="0">
      <alignment horizontal="center" vertical="center"/>
    </xf>
    <xf numFmtId="0" fontId="36" fillId="23" borderId="50" applyAlignment="1" pivotButton="0" quotePrefix="0" xfId="0">
      <alignment horizontal="center" vertical="center"/>
    </xf>
    <xf numFmtId="0" fontId="36" fillId="23" borderId="51" applyAlignment="1" pivotButton="0" quotePrefix="0" xfId="0">
      <alignment horizontal="center" vertical="center"/>
    </xf>
    <xf numFmtId="0" fontId="36" fillId="23" borderId="18" applyAlignment="1" pivotButton="0" quotePrefix="0" xfId="0">
      <alignment horizontal="center" vertical="center"/>
    </xf>
    <xf numFmtId="0" fontId="34" fillId="0" borderId="6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4" fillId="0" borderId="30" applyAlignment="1" pivotButton="0" quotePrefix="0" xfId="0">
      <alignment horizontal="center" vertical="center"/>
    </xf>
    <xf numFmtId="0" fontId="34" fillId="0" borderId="7" applyAlignment="1" pivotButton="0" quotePrefix="0" xfId="0">
      <alignment horizontal="center" vertical="center"/>
    </xf>
    <xf numFmtId="0" fontId="34" fillId="0" borderId="10" applyAlignment="1" pivotButton="0" quotePrefix="0" xfId="0">
      <alignment horizontal="center" vertical="center"/>
    </xf>
    <xf numFmtId="0" fontId="34" fillId="0" borderId="3" applyAlignment="1" pivotButton="0" quotePrefix="0" xfId="0">
      <alignment horizontal="center" vertical="center"/>
    </xf>
    <xf numFmtId="0" fontId="32" fillId="23" borderId="44" applyAlignment="1" pivotButton="0" quotePrefix="0" xfId="0">
      <alignment horizontal="center" vertical="center"/>
    </xf>
    <xf numFmtId="0" fontId="32" fillId="23" borderId="0" applyAlignment="1" pivotButton="0" quotePrefix="0" xfId="0">
      <alignment horizontal="center" vertical="center"/>
    </xf>
    <xf numFmtId="0" fontId="32" fillId="23" borderId="45" applyAlignment="1" pivotButton="0" quotePrefix="0" xfId="0">
      <alignment horizontal="center" vertical="center"/>
    </xf>
    <xf numFmtId="0" fontId="32" fillId="23" borderId="54" applyAlignment="1" pivotButton="0" quotePrefix="0" xfId="0">
      <alignment horizontal="center" vertical="center"/>
    </xf>
    <xf numFmtId="0" fontId="32" fillId="23" borderId="10" applyAlignment="1" pivotButton="0" quotePrefix="0" xfId="0">
      <alignment horizontal="center" vertical="center"/>
    </xf>
    <xf numFmtId="0" fontId="32" fillId="23" borderId="52" applyAlignment="1" pivotButton="0" quotePrefix="0" xfId="0">
      <alignment horizontal="center" vertical="center"/>
    </xf>
    <xf numFmtId="0" fontId="39" fillId="0" borderId="50" applyAlignment="1" pivotButton="0" quotePrefix="0" xfId="0">
      <alignment horizontal="center" vertical="center"/>
    </xf>
    <xf numFmtId="0" fontId="39" fillId="0" borderId="51" applyAlignment="1" pivotButton="0" quotePrefix="0" xfId="0">
      <alignment horizontal="center" vertical="center"/>
    </xf>
    <xf numFmtId="0" fontId="39" fillId="0" borderId="18" applyAlignment="1" pivotButton="0" quotePrefix="0" xfId="0">
      <alignment horizontal="center" vertical="center"/>
    </xf>
    <xf numFmtId="0" fontId="6" fillId="23" borderId="46" applyAlignment="1" pivotButton="0" quotePrefix="0" xfId="0">
      <alignment horizontal="center" vertical="center"/>
    </xf>
    <xf numFmtId="0" fontId="6" fillId="23" borderId="47" applyAlignment="1" pivotButton="0" quotePrefix="0" xfId="0">
      <alignment horizontal="center" vertical="center"/>
    </xf>
    <xf numFmtId="0" fontId="31" fillId="0" borderId="44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22" borderId="44" applyAlignment="1" pivotButton="0" quotePrefix="0" xfId="0">
      <alignment horizontal="center" vertical="center"/>
    </xf>
    <xf numFmtId="0" fontId="30" fillId="22" borderId="0" applyAlignment="1" pivotButton="0" quotePrefix="0" xfId="0">
      <alignment horizontal="center" vertical="center"/>
    </xf>
    <xf numFmtId="0" fontId="30" fillId="18" borderId="44" applyAlignment="1" pivotButton="0" quotePrefix="0" xfId="0">
      <alignment horizontal="center" vertical="center"/>
    </xf>
    <xf numFmtId="0" fontId="30" fillId="18" borderId="0" applyAlignment="1" pivotButton="0" quotePrefix="0" xfId="0">
      <alignment horizontal="center" vertical="center"/>
    </xf>
    <xf numFmtId="0" fontId="30" fillId="19" borderId="44" applyAlignment="1" pivotButton="0" quotePrefix="0" xfId="0">
      <alignment horizontal="center" vertical="center"/>
    </xf>
    <xf numFmtId="0" fontId="30" fillId="19" borderId="0" applyAlignment="1" pivotButton="0" quotePrefix="0" xfId="0">
      <alignment horizontal="center" vertical="center"/>
    </xf>
    <xf numFmtId="0" fontId="30" fillId="20" borderId="44" applyAlignment="1" pivotButton="0" quotePrefix="0" xfId="0">
      <alignment horizontal="center" vertical="center"/>
    </xf>
    <xf numFmtId="0" fontId="30" fillId="20" borderId="0" applyAlignment="1" pivotButton="0" quotePrefix="0" xfId="0">
      <alignment horizontal="center" vertical="center"/>
    </xf>
    <xf numFmtId="0" fontId="30" fillId="21" borderId="44" applyAlignment="1" pivotButton="0" quotePrefix="0" xfId="0">
      <alignment horizontal="center" vertical="center"/>
    </xf>
    <xf numFmtId="0" fontId="30" fillId="21" borderId="0" applyAlignment="1" pivotButton="0" quotePrefix="0" xfId="0">
      <alignment horizontal="center" vertical="center"/>
    </xf>
    <xf numFmtId="0" fontId="33" fillId="23" borderId="8" applyAlignment="1" applyProtection="1" pivotButton="0" quotePrefix="0" xfId="0">
      <alignment horizontal="center" vertical="center"/>
      <protection locked="0" hidden="0"/>
    </xf>
    <xf numFmtId="0" fontId="19" fillId="0" borderId="8" applyAlignment="1" applyProtection="1" pivotButton="0" quotePrefix="0" xfId="0">
      <alignment horizontal="center" vertical="center"/>
      <protection locked="0" hidden="0"/>
    </xf>
    <xf numFmtId="0" fontId="32" fillId="23" borderId="48" applyAlignment="1" applyProtection="1" pivotButton="0" quotePrefix="0" xfId="0">
      <alignment horizontal="left" vertical="center"/>
      <protection locked="0" hidden="0"/>
    </xf>
    <xf numFmtId="0" fontId="32" fillId="23" borderId="1" applyAlignment="1" applyProtection="1" pivotButton="0" quotePrefix="0" xfId="0">
      <alignment horizontal="left" vertical="center"/>
      <protection locked="0" hidden="0"/>
    </xf>
    <xf numFmtId="0" fontId="32" fillId="23" borderId="35" applyAlignment="1" applyProtection="1" pivotButton="0" quotePrefix="0" xfId="0">
      <alignment horizontal="left" vertical="center"/>
      <protection locked="0" hidden="0"/>
    </xf>
    <xf numFmtId="0" fontId="32" fillId="23" borderId="44" applyAlignment="1" applyProtection="1" pivotButton="0" quotePrefix="0" xfId="0">
      <alignment horizontal="left" vertical="center"/>
      <protection locked="0" hidden="0"/>
    </xf>
    <xf numFmtId="0" fontId="32" fillId="23" borderId="0" applyAlignment="1" applyProtection="1" pivotButton="0" quotePrefix="0" xfId="0">
      <alignment horizontal="left" vertical="center"/>
      <protection locked="0" hidden="0"/>
    </xf>
    <xf numFmtId="0" fontId="32" fillId="23" borderId="45" applyAlignment="1" applyProtection="1" pivotButton="0" quotePrefix="0" xfId="0">
      <alignment horizontal="left" vertical="center"/>
      <protection locked="0" hidden="0"/>
    </xf>
    <xf numFmtId="0" fontId="32" fillId="23" borderId="46" applyAlignment="1" applyProtection="1" pivotButton="0" quotePrefix="0" xfId="0">
      <alignment horizontal="left" vertical="center"/>
      <protection locked="0" hidden="0"/>
    </xf>
    <xf numFmtId="0" fontId="6" fillId="23" borderId="46" applyAlignment="1" applyProtection="1" pivotButton="0" quotePrefix="0" xfId="0">
      <alignment horizontal="center" vertical="center"/>
      <protection locked="0" hidden="0"/>
    </xf>
    <xf numFmtId="0" fontId="6" fillId="23" borderId="47" applyAlignment="1" applyProtection="1" pivotButton="0" quotePrefix="0" xfId="0">
      <alignment horizontal="center" vertical="center"/>
      <protection locked="0" hidden="0"/>
    </xf>
    <xf numFmtId="0" fontId="7" fillId="0" borderId="0" applyAlignment="1" applyProtection="1" pivotButton="0" quotePrefix="0" xfId="0">
      <alignment horizontal="center"/>
      <protection locked="0" hidden="0"/>
    </xf>
    <xf numFmtId="0" fontId="7" fillId="0" borderId="44" applyAlignment="1" applyProtection="1" pivotButton="0" quotePrefix="0" xfId="0">
      <alignment horizontal="center"/>
      <protection locked="0" hidden="0"/>
    </xf>
    <xf numFmtId="0" fontId="19" fillId="0" borderId="31" applyAlignment="1" applyProtection="1" pivotButton="0" quotePrefix="0" xfId="0">
      <alignment horizontal="center" vertical="center"/>
      <protection locked="0" hidden="0"/>
    </xf>
    <xf numFmtId="0" fontId="19" fillId="0" borderId="29" applyAlignment="1" applyProtection="1" pivotButton="0" quotePrefix="0" xfId="0">
      <alignment horizontal="center" vertical="center"/>
      <protection locked="0" hidden="0"/>
    </xf>
    <xf numFmtId="0" fontId="19" fillId="0" borderId="32" applyAlignment="1" applyProtection="1" pivotButton="0" quotePrefix="0" xfId="0">
      <alignment horizontal="center" vertical="center"/>
      <protection locked="0" hidden="0"/>
    </xf>
    <xf numFmtId="0" fontId="6" fillId="23" borderId="8" applyAlignment="1" applyProtection="1" pivotButton="0" quotePrefix="0" xfId="0">
      <alignment horizontal="center" vertical="center"/>
      <protection locked="0" hidden="0"/>
    </xf>
    <xf numFmtId="0" fontId="6" fillId="23" borderId="49" applyAlignment="1" applyProtection="1" pivotButton="0" quotePrefix="0" xfId="0">
      <alignment horizontal="center" vertical="center"/>
      <protection locked="0" hidden="0"/>
    </xf>
    <xf numFmtId="0" fontId="16" fillId="0" borderId="6" applyAlignment="1" applyProtection="1" pivotButton="0" quotePrefix="0" xfId="0">
      <alignment horizontal="left" vertical="center" wrapText="1"/>
      <protection locked="0" hidden="0"/>
    </xf>
    <xf numFmtId="0" fontId="16" fillId="0" borderId="1" applyAlignment="1" applyProtection="1" pivotButton="0" quotePrefix="0" xfId="0">
      <alignment horizontal="left" vertical="center" wrapText="1"/>
      <protection locked="0" hidden="0"/>
    </xf>
    <xf numFmtId="0" fontId="16" fillId="0" borderId="30" applyAlignment="1" applyProtection="1" pivotButton="0" quotePrefix="0" xfId="0">
      <alignment horizontal="left" vertical="center" wrapText="1"/>
      <protection locked="0" hidden="0"/>
    </xf>
    <xf numFmtId="0" fontId="16" fillId="0" borderId="5" applyAlignment="1" applyProtection="1" pivotButton="0" quotePrefix="0" xfId="0">
      <alignment horizontal="left" vertical="center" wrapText="1"/>
      <protection locked="0" hidden="0"/>
    </xf>
    <xf numFmtId="0" fontId="16" fillId="0" borderId="0" applyAlignment="1" applyProtection="1" pivotButton="0" quotePrefix="0" xfId="0">
      <alignment horizontal="left" vertical="center" wrapText="1"/>
      <protection locked="0" hidden="0"/>
    </xf>
    <xf numFmtId="0" fontId="16" fillId="0" borderId="2" applyAlignment="1" applyProtection="1" pivotButton="0" quotePrefix="0" xfId="0">
      <alignment horizontal="left" vertical="center" wrapText="1"/>
      <protection locked="0" hidden="0"/>
    </xf>
    <xf numFmtId="0" fontId="16" fillId="0" borderId="7" applyAlignment="1" applyProtection="1" pivotButton="0" quotePrefix="0" xfId="0">
      <alignment horizontal="left" vertical="center" wrapText="1"/>
      <protection locked="0" hidden="0"/>
    </xf>
    <xf numFmtId="0" fontId="16" fillId="0" borderId="10" applyAlignment="1" applyProtection="1" pivotButton="0" quotePrefix="0" xfId="0">
      <alignment horizontal="left" vertical="center" wrapText="1"/>
      <protection locked="0" hidden="0"/>
    </xf>
    <xf numFmtId="0" fontId="16" fillId="0" borderId="3" applyAlignment="1" applyProtection="1" pivotButton="0" quotePrefix="0" xfId="0">
      <alignment horizontal="left" vertical="center" wrapText="1"/>
      <protection locked="0" hidden="0"/>
    </xf>
    <xf numFmtId="0" fontId="35" fillId="2" borderId="50" applyAlignment="1" applyProtection="1" pivotButton="0" quotePrefix="0" xfId="0">
      <alignment horizontal="center" vertical="center"/>
      <protection locked="0" hidden="0"/>
    </xf>
    <xf numFmtId="0" fontId="35" fillId="2" borderId="51" applyAlignment="1" applyProtection="1" pivotButton="0" quotePrefix="0" xfId="0">
      <alignment horizontal="center" vertical="center"/>
      <protection locked="0" hidden="0"/>
    </xf>
    <xf numFmtId="0" fontId="35" fillId="2" borderId="18" applyAlignment="1" applyProtection="1" pivotButton="0" quotePrefix="0" xfId="0">
      <alignment horizontal="center" vertical="center"/>
      <protection locked="0" hidden="0"/>
    </xf>
    <xf numFmtId="0" fontId="7" fillId="23" borderId="6" applyAlignment="1" applyProtection="1" pivotButton="0" quotePrefix="0" xfId="0">
      <alignment horizontal="center"/>
      <protection locked="0" hidden="0"/>
    </xf>
    <xf numFmtId="0" fontId="7" fillId="23" borderId="35" applyAlignment="1" applyProtection="1" pivotButton="0" quotePrefix="0" xfId="0">
      <alignment horizontal="center"/>
      <protection locked="0" hidden="0"/>
    </xf>
    <xf numFmtId="0" fontId="7" fillId="23" borderId="5" applyAlignment="1" applyProtection="1" pivotButton="0" quotePrefix="0" xfId="0">
      <alignment horizontal="center"/>
      <protection locked="0" hidden="0"/>
    </xf>
    <xf numFmtId="0" fontId="7" fillId="23" borderId="45" applyAlignment="1" applyProtection="1" pivotButton="0" quotePrefix="0" xfId="0">
      <alignment horizontal="center"/>
      <protection locked="0" hidden="0"/>
    </xf>
    <xf numFmtId="0" fontId="7" fillId="23" borderId="7" applyAlignment="1" applyProtection="1" pivotButton="0" quotePrefix="0" xfId="0">
      <alignment horizontal="center"/>
      <protection locked="0" hidden="0"/>
    </xf>
    <xf numFmtId="0" fontId="7" fillId="23" borderId="52" applyAlignment="1" applyProtection="1" pivotButton="0" quotePrefix="0" xfId="0">
      <alignment horizontal="center"/>
      <protection locked="0" hidden="0"/>
    </xf>
    <xf numFmtId="0" fontId="32" fillId="23" borderId="41" applyAlignment="1" applyProtection="1" pivotButton="0" quotePrefix="0" xfId="0">
      <alignment horizontal="left" vertical="center"/>
      <protection locked="0" hidden="0"/>
    </xf>
    <xf numFmtId="0" fontId="30" fillId="19" borderId="41" applyAlignment="1" applyProtection="1" pivotButton="0" quotePrefix="0" xfId="0">
      <alignment horizontal="center" vertical="center"/>
      <protection locked="0" hidden="0"/>
    </xf>
    <xf numFmtId="0" fontId="30" fillId="19" borderId="42" applyAlignment="1" applyProtection="1" pivotButton="0" quotePrefix="0" xfId="0">
      <alignment horizontal="center" vertical="center"/>
      <protection locked="0" hidden="0"/>
    </xf>
    <xf numFmtId="0" fontId="36" fillId="23" borderId="50" applyAlignment="1" applyProtection="1" pivotButton="0" quotePrefix="0" xfId="0">
      <alignment horizontal="center" vertical="center"/>
      <protection locked="0" hidden="0"/>
    </xf>
    <xf numFmtId="0" fontId="36" fillId="23" borderId="51" applyAlignment="1" applyProtection="1" pivotButton="0" quotePrefix="0" xfId="0">
      <alignment horizontal="center" vertical="center"/>
      <protection locked="0" hidden="0"/>
    </xf>
    <xf numFmtId="0" fontId="36" fillId="23" borderId="18" applyAlignment="1" applyProtection="1" pivotButton="0" quotePrefix="0" xfId="0">
      <alignment horizontal="center" vertical="center"/>
      <protection locked="0" hidden="0"/>
    </xf>
    <xf numFmtId="0" fontId="32" fillId="23" borderId="8" applyAlignment="1" applyProtection="1" pivotButton="0" quotePrefix="0" xfId="0">
      <alignment horizontal="left" vertical="center"/>
      <protection locked="0" hidden="0"/>
    </xf>
    <xf numFmtId="0" fontId="34" fillId="0" borderId="6" applyAlignment="1" applyProtection="1" pivotButton="0" quotePrefix="0" xfId="0">
      <alignment horizontal="center" vertical="center"/>
      <protection locked="0" hidden="0"/>
    </xf>
    <xf numFmtId="0" fontId="34" fillId="0" borderId="1" applyAlignment="1" applyProtection="1" pivotButton="0" quotePrefix="0" xfId="0">
      <alignment horizontal="center" vertical="center"/>
      <protection locked="0" hidden="0"/>
    </xf>
    <xf numFmtId="0" fontId="34" fillId="0" borderId="30" applyAlignment="1" applyProtection="1" pivotButton="0" quotePrefix="0" xfId="0">
      <alignment horizontal="center" vertical="center"/>
      <protection locked="0" hidden="0"/>
    </xf>
    <xf numFmtId="0" fontId="34" fillId="0" borderId="7" applyAlignment="1" applyProtection="1" pivotButton="0" quotePrefix="0" xfId="0">
      <alignment horizontal="center" vertical="center"/>
      <protection locked="0" hidden="0"/>
    </xf>
    <xf numFmtId="0" fontId="34" fillId="0" borderId="10" applyAlignment="1" applyProtection="1" pivotButton="0" quotePrefix="0" xfId="0">
      <alignment horizontal="center" vertical="center"/>
      <protection locked="0" hidden="0"/>
    </xf>
    <xf numFmtId="0" fontId="34" fillId="0" borderId="3" applyAlignment="1" applyProtection="1" pivotButton="0" quotePrefix="0" xfId="0">
      <alignment horizontal="center" vertical="center"/>
      <protection locked="0" hidden="0"/>
    </xf>
    <xf numFmtId="0" fontId="30" fillId="20" borderId="41" applyAlignment="1" applyProtection="1" pivotButton="0" quotePrefix="0" xfId="0">
      <alignment horizontal="center" vertical="center"/>
      <protection locked="0" hidden="0"/>
    </xf>
    <xf numFmtId="0" fontId="30" fillId="20" borderId="42" applyAlignment="1" applyProtection="1" pivotButton="0" quotePrefix="0" xfId="0">
      <alignment horizontal="center" vertical="center"/>
      <protection locked="0" hidden="0"/>
    </xf>
    <xf numFmtId="0" fontId="6" fillId="23" borderId="46" applyAlignment="1" applyProtection="1" pivotButton="0" quotePrefix="0" xfId="0">
      <alignment horizontal="center"/>
      <protection locked="0" hidden="0"/>
    </xf>
    <xf numFmtId="0" fontId="6" fillId="23" borderId="47" applyAlignment="1" applyProtection="1" pivotButton="0" quotePrefix="0" xfId="0">
      <alignment horizontal="center"/>
      <protection locked="0" hidden="0"/>
    </xf>
    <xf numFmtId="0" fontId="30" fillId="21" borderId="41" applyAlignment="1" applyProtection="1" pivotButton="0" quotePrefix="0" xfId="0">
      <alignment horizontal="center" vertical="center"/>
      <protection locked="0" hidden="0"/>
    </xf>
    <xf numFmtId="0" fontId="30" fillId="21" borderId="42" applyAlignment="1" applyProtection="1" pivotButton="0" quotePrefix="0" xfId="0">
      <alignment horizontal="center" vertical="center"/>
      <protection locked="0" hidden="0"/>
    </xf>
    <xf numFmtId="0" fontId="6" fillId="23" borderId="8" applyAlignment="1" applyProtection="1" pivotButton="0" quotePrefix="0" xfId="0">
      <alignment horizontal="center"/>
      <protection locked="0" hidden="0"/>
    </xf>
    <xf numFmtId="0" fontId="6" fillId="23" borderId="49" applyAlignment="1" applyProtection="1" pivotButton="0" quotePrefix="0" xfId="0">
      <alignment horizontal="center"/>
      <protection locked="0" hidden="0"/>
    </xf>
    <xf numFmtId="0" fontId="24" fillId="8" borderId="50" applyAlignment="1" pivotButton="0" quotePrefix="0" xfId="0">
      <alignment horizontal="center" vertical="center"/>
    </xf>
    <xf numFmtId="0" fontId="24" fillId="8" borderId="51" applyAlignment="1" pivotButton="0" quotePrefix="0" xfId="0">
      <alignment horizontal="center" vertical="center"/>
    </xf>
    <xf numFmtId="0" fontId="24" fillId="8" borderId="18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/>
    </xf>
    <xf numFmtId="0" fontId="24" fillId="0" borderId="7" applyAlignment="1" pivotButton="0" quotePrefix="0" xfId="0">
      <alignment horizontal="center" vertical="center"/>
    </xf>
    <xf numFmtId="0" fontId="24" fillId="12" borderId="1" applyAlignment="1" pivotButton="0" quotePrefix="0" xfId="0">
      <alignment horizontal="center" vertical="center"/>
    </xf>
    <xf numFmtId="0" fontId="24" fillId="13" borderId="1" applyAlignment="1" pivotButton="0" quotePrefix="0" xfId="0">
      <alignment horizontal="center" vertical="center"/>
    </xf>
    <xf numFmtId="0" fontId="24" fillId="12" borderId="37" applyAlignment="1" pivotButton="0" quotePrefix="0" xfId="0">
      <alignment horizontal="center" vertical="center"/>
    </xf>
    <xf numFmtId="0" fontId="24" fillId="12" borderId="36" applyAlignment="1" pivotButton="0" quotePrefix="0" xfId="0">
      <alignment horizontal="center" vertical="center"/>
    </xf>
    <xf numFmtId="0" fontId="24" fillId="12" borderId="36" applyAlignment="1" pivotButton="0" quotePrefix="0" xfId="0">
      <alignment horizontal="center" vertical="center" wrapText="1"/>
    </xf>
    <xf numFmtId="0" fontId="24" fillId="12" borderId="38" applyAlignment="1" pivotButton="0" quotePrefix="0" xfId="0">
      <alignment horizontal="center" vertical="center" wrapText="1"/>
    </xf>
    <xf numFmtId="0" fontId="24" fillId="13" borderId="35" applyAlignment="1" pivotButton="0" quotePrefix="0" xfId="0">
      <alignment horizontal="center" vertical="center"/>
    </xf>
    <xf numFmtId="0" fontId="24" fillId="13" borderId="36" applyAlignment="1" pivotButton="0" quotePrefix="0" xfId="0">
      <alignment horizontal="center" vertical="center"/>
    </xf>
    <xf numFmtId="0" fontId="24" fillId="13" borderId="36" applyAlignment="1" pivotButton="0" quotePrefix="0" xfId="0">
      <alignment horizontal="center" vertical="center" wrapText="1"/>
    </xf>
    <xf numFmtId="0" fontId="24" fillId="13" borderId="38" applyAlignment="1" pivotButton="0" quotePrefix="0" xfId="0">
      <alignment horizontal="center" vertical="center" wrapText="1"/>
    </xf>
    <xf numFmtId="0" fontId="30" fillId="22" borderId="41" applyAlignment="1" applyProtection="1" pivotButton="0" quotePrefix="0" xfId="0">
      <alignment horizontal="center" vertical="center"/>
      <protection locked="0" hidden="0"/>
    </xf>
    <xf numFmtId="0" fontId="30" fillId="22" borderId="42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2" fillId="0" borderId="5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5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37" fillId="0" borderId="6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7" fillId="0" borderId="30" applyAlignment="1" pivotButton="0" quotePrefix="0" xfId="0">
      <alignment horizontal="center" vertical="center"/>
    </xf>
    <xf numFmtId="0" fontId="37" fillId="0" borderId="5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37" fillId="0" borderId="2" applyAlignment="1" pivotButton="0" quotePrefix="0" xfId="0">
      <alignment horizontal="center" vertical="center"/>
    </xf>
    <xf numFmtId="0" fontId="37" fillId="0" borderId="7" applyAlignment="1" pivotButton="0" quotePrefix="0" xfId="0">
      <alignment horizontal="center" vertical="center"/>
    </xf>
    <xf numFmtId="0" fontId="37" fillId="0" borderId="10" applyAlignment="1" pivotButton="0" quotePrefix="0" xfId="0">
      <alignment horizontal="center" vertical="center"/>
    </xf>
    <xf numFmtId="0" fontId="37" fillId="0" borderId="3" applyAlignment="1" pivotButton="0" quotePrefix="0" xfId="0">
      <alignment horizontal="center" vertical="center"/>
    </xf>
    <xf numFmtId="0" fontId="12" fillId="0" borderId="53" applyAlignment="1" pivotButton="0" quotePrefix="0" xfId="0">
      <alignment horizontal="center" wrapText="1"/>
    </xf>
    <xf numFmtId="0" fontId="12" fillId="0" borderId="6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30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0" fontId="12" fillId="0" borderId="22" applyAlignment="1" pivotButton="0" quotePrefix="0" xfId="0">
      <alignment horizontal="left" vertical="center" wrapText="1"/>
    </xf>
    <xf numFmtId="0" fontId="12" fillId="0" borderId="23" applyAlignment="1" pivotButton="0" quotePrefix="0" xfId="0">
      <alignment horizontal="left" vertical="center" wrapText="1"/>
    </xf>
    <xf numFmtId="0" fontId="12" fillId="0" borderId="22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2" fillId="0" borderId="23" applyAlignment="1" pivotButton="0" quotePrefix="0" xfId="0">
      <alignment horizontal="left"/>
    </xf>
    <xf numFmtId="0" fontId="12" fillId="0" borderId="22" applyAlignment="1" pivotButton="0" quotePrefix="0" xfId="0">
      <alignment horizontal="left" wrapText="1"/>
    </xf>
    <xf numFmtId="0" fontId="12" fillId="0" borderId="0" applyAlignment="1" pivotButton="0" quotePrefix="0" xfId="0">
      <alignment horizontal="left" wrapText="1"/>
    </xf>
    <xf numFmtId="0" fontId="12" fillId="0" borderId="23" applyAlignment="1" pivotButton="0" quotePrefix="0" xfId="0">
      <alignment horizontal="left" wrapText="1"/>
    </xf>
    <xf numFmtId="0" fontId="14" fillId="0" borderId="22" applyAlignment="1" pivotButton="0" quotePrefix="0" xfId="0">
      <alignment horizontal="left" vertical="center" wrapText="1" readingOrder="1"/>
    </xf>
    <xf numFmtId="0" fontId="14" fillId="0" borderId="0" applyAlignment="1" pivotButton="0" quotePrefix="0" xfId="0">
      <alignment horizontal="left" vertical="center" wrapText="1" readingOrder="1"/>
    </xf>
    <xf numFmtId="0" fontId="14" fillId="0" borderId="23" applyAlignment="1" pivotButton="0" quotePrefix="0" xfId="0">
      <alignment horizontal="left" vertical="center" wrapText="1" readingOrder="1"/>
    </xf>
    <xf numFmtId="0" fontId="35" fillId="2" borderId="17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18" pivotButton="0" quotePrefix="0" xfId="0"/>
    <xf numFmtId="0" fontId="7" fillId="23" borderId="62" applyAlignment="1" pivotButton="0" quotePrefix="0" xfId="0">
      <alignment horizontal="center"/>
    </xf>
    <xf numFmtId="0" fontId="0" fillId="0" borderId="35" pivotButton="0" quotePrefix="0" xfId="0"/>
    <xf numFmtId="0" fontId="32" fillId="23" borderId="36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64" pivotButton="0" quotePrefix="0" xfId="0"/>
    <xf numFmtId="0" fontId="0" fillId="0" borderId="43" pivotButton="0" quotePrefix="0" xfId="0"/>
    <xf numFmtId="0" fontId="36" fillId="23" borderId="17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4" pivotButton="0" quotePrefix="0" xfId="0"/>
    <xf numFmtId="0" fontId="0" fillId="0" borderId="29" pivotButton="0" quotePrefix="0" xfId="0"/>
    <xf numFmtId="0" fontId="0" fillId="0" borderId="32" pivotButton="0" quotePrefix="0" xfId="0"/>
    <xf numFmtId="0" fontId="39" fillId="0" borderId="17" applyAlignment="1" pivotButton="0" quotePrefix="0" xfId="0">
      <alignment horizontal="center" vertical="center"/>
    </xf>
    <xf numFmtId="0" fontId="34" fillId="0" borderId="17" applyAlignment="1" pivotButton="0" quotePrefix="0" xfId="0">
      <alignment horizontal="center" vertical="center"/>
    </xf>
    <xf numFmtId="0" fontId="0" fillId="0" borderId="30" pivotButton="0" quotePrefix="0" xfId="0"/>
    <xf numFmtId="0" fontId="32" fillId="23" borderId="63" applyAlignment="1" pivotButton="0" quotePrefix="0" xfId="0">
      <alignment horizontal="center" vertical="center"/>
    </xf>
    <xf numFmtId="0" fontId="36" fillId="0" borderId="17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3" pivotButton="0" quotePrefix="0" xfId="0"/>
    <xf numFmtId="0" fontId="0" fillId="0" borderId="52" pivotButton="0" quotePrefix="0" xfId="0"/>
    <xf numFmtId="0" fontId="0" fillId="0" borderId="54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12" pivotButton="0" quotePrefix="0" xfId="0"/>
    <xf numFmtId="0" fontId="0" fillId="0" borderId="34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164" fontId="20" fillId="0" borderId="8" applyAlignment="1" pivotButton="0" quotePrefix="0" xfId="0">
      <alignment horizontal="center" vertical="center"/>
    </xf>
    <xf numFmtId="165" fontId="42" fillId="0" borderId="32" applyAlignment="1" pivotButton="0" quotePrefix="1" xfId="0">
      <alignment horizontal="left" vertical="center"/>
    </xf>
    <xf numFmtId="165" fontId="43" fillId="0" borderId="2" applyAlignment="1" pivotButton="0" quotePrefix="0" xfId="0">
      <alignment horizontal="center"/>
    </xf>
    <xf numFmtId="165" fontId="20" fillId="0" borderId="8" applyAlignment="1" pivotButton="0" quotePrefix="1" xfId="0">
      <alignment horizontal="center" vertical="center"/>
    </xf>
    <xf numFmtId="165" fontId="29" fillId="0" borderId="32" applyAlignment="1" pivotButton="0" quotePrefix="1" xfId="0">
      <alignment horizontal="left" vertical="center"/>
    </xf>
    <xf numFmtId="165" fontId="22" fillId="0" borderId="32" applyAlignment="1" pivotButton="0" quotePrefix="1" xfId="0">
      <alignment horizontal="left" vertical="center"/>
    </xf>
    <xf numFmtId="165" fontId="20" fillId="0" borderId="8" applyAlignment="1" pivotButton="0" quotePrefix="0" xfId="0">
      <alignment horizontal="center" vertical="center"/>
    </xf>
    <xf numFmtId="0" fontId="35" fillId="2" borderId="17" applyAlignment="1" applyProtection="1" pivotButton="0" quotePrefix="0" xfId="0">
      <alignment horizontal="center" vertical="center"/>
      <protection locked="0" hidden="0"/>
    </xf>
    <xf numFmtId="0" fontId="0" fillId="0" borderId="51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7" fillId="23" borderId="62" applyAlignment="1" applyProtection="1" pivotButton="0" quotePrefix="0" xfId="0">
      <alignment horizontal="center"/>
      <protection locked="0" hidden="0"/>
    </xf>
    <xf numFmtId="0" fontId="0" fillId="0" borderId="35" applyProtection="1" pivotButton="0" quotePrefix="0" xfId="0">
      <protection locked="0" hidden="0"/>
    </xf>
    <xf numFmtId="0" fontId="32" fillId="23" borderId="36" applyAlignment="1" applyProtection="1" pivotButton="0" quotePrefix="0" xfId="0">
      <alignment horizontal="left" vertical="center"/>
      <protection locked="0" hidden="0"/>
    </xf>
    <xf numFmtId="0" fontId="0" fillId="0" borderId="1" applyProtection="1" pivotButton="0" quotePrefix="0" xfId="0">
      <protection locked="0" hidden="0"/>
    </xf>
    <xf numFmtId="0" fontId="0" fillId="0" borderId="64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0" fontId="36" fillId="23" borderId="17" applyAlignment="1" applyProtection="1" pivotButton="0" quotePrefix="0" xfId="0">
      <alignment horizontal="center" vertical="center"/>
      <protection locked="0" hidden="0"/>
    </xf>
    <xf numFmtId="0" fontId="0" fillId="0" borderId="45" applyProtection="1" pivotButton="0" quotePrefix="0" xfId="0">
      <protection locked="0" hidden="0"/>
    </xf>
    <xf numFmtId="0" fontId="0" fillId="0" borderId="44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32" applyProtection="1" pivotButton="0" quotePrefix="0" xfId="0">
      <protection locked="0" hidden="0"/>
    </xf>
    <xf numFmtId="0" fontId="34" fillId="0" borderId="17" applyAlignment="1" applyProtection="1" pivotButton="0" quotePrefix="0" xfId="0">
      <alignment horizontal="center" vertical="center"/>
      <protection locked="0" hidden="0"/>
    </xf>
    <xf numFmtId="0" fontId="0" fillId="0" borderId="3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6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52" applyProtection="1" pivotButton="0" quotePrefix="0" xfId="0">
      <protection locked="0" hidden="0"/>
    </xf>
    <xf numFmtId="0" fontId="0" fillId="0" borderId="60" applyProtection="1" pivotButton="0" quotePrefix="0" xfId="0">
      <protection locked="0" hidden="0"/>
    </xf>
    <xf numFmtId="0" fontId="0" fillId="0" borderId="6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34" applyProtection="1" pivotButton="0" quotePrefix="0" xfId="0">
      <protection locked="0" hidden="0"/>
    </xf>
    <xf numFmtId="0" fontId="0" fillId="0" borderId="57" applyProtection="1" pivotButton="0" quotePrefix="0" xfId="0">
      <protection locked="0" hidden="0"/>
    </xf>
    <xf numFmtId="0" fontId="0" fillId="0" borderId="58" applyProtection="1" pivotButton="0" quotePrefix="0" xfId="0">
      <protection locked="0" hidden="0"/>
    </xf>
    <xf numFmtId="0" fontId="0" fillId="0" borderId="59" applyProtection="1" pivotButton="0" quotePrefix="0" xfId="0">
      <protection locked="0" hidden="0"/>
    </xf>
    <xf numFmtId="164" fontId="20" fillId="0" borderId="8" applyAlignment="1" applyProtection="1" pivotButton="0" quotePrefix="0" xfId="0">
      <alignment horizontal="center" vertical="center"/>
      <protection locked="0" hidden="0"/>
    </xf>
    <xf numFmtId="165" fontId="20" fillId="0" borderId="8" applyAlignment="1" applyProtection="1" pivotButton="0" quotePrefix="1" xfId="0">
      <alignment horizontal="center" vertical="center"/>
      <protection locked="0" hidden="0"/>
    </xf>
    <xf numFmtId="165" fontId="29" fillId="0" borderId="32" applyAlignment="1" applyProtection="1" pivotButton="0" quotePrefix="1" xfId="0">
      <alignment horizontal="left" vertical="center"/>
      <protection locked="0" hidden="0"/>
    </xf>
    <xf numFmtId="165" fontId="22" fillId="0" borderId="32" applyAlignment="1" applyProtection="1" pivotButton="0" quotePrefix="1" xfId="0">
      <alignment horizontal="left" vertical="center"/>
      <protection locked="0" hidden="0"/>
    </xf>
    <xf numFmtId="165" fontId="19" fillId="0" borderId="8" applyAlignment="1" applyProtection="1" pivotButton="0" quotePrefix="1" xfId="0">
      <alignment horizontal="center" vertical="center"/>
      <protection locked="0" hidden="0"/>
    </xf>
    <xf numFmtId="165" fontId="20" fillId="0" borderId="8" applyAlignment="1" applyProtection="1" pivotButton="0" quotePrefix="0" xfId="0">
      <alignment horizontal="center" vertical="center"/>
      <protection locked="0" hidden="0"/>
    </xf>
    <xf numFmtId="0" fontId="37" fillId="0" borderId="17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/>
    </xf>
    <xf numFmtId="0" fontId="14" fillId="0" borderId="65" applyAlignment="1" pivotButton="0" quotePrefix="0" xfId="0">
      <alignment horizontal="left" vertical="center" wrapText="1" readingOrder="1"/>
    </xf>
    <xf numFmtId="0" fontId="0" fillId="0" borderId="23" pivotButton="0" quotePrefix="0" xfId="0"/>
    <xf numFmtId="0" fontId="12" fillId="0" borderId="65" applyAlignment="1" pivotButton="0" quotePrefix="0" xfId="0">
      <alignment horizontal="left" vertical="center" wrapText="1"/>
    </xf>
    <xf numFmtId="0" fontId="0" fillId="0" borderId="22" pivotButton="0" quotePrefix="0" xfId="0"/>
    <xf numFmtId="0" fontId="12" fillId="0" borderId="65" applyAlignment="1" pivotButton="0" quotePrefix="0" xfId="0">
      <alignment horizontal="left" wrapText="1"/>
    </xf>
    <xf numFmtId="0" fontId="12" fillId="0" borderId="65" applyAlignment="1" pivotButton="0" quotePrefix="0" xfId="0">
      <alignment horizontal="left"/>
    </xf>
    <xf numFmtId="0" fontId="0" fillId="0" borderId="53" pivotButton="0" quotePrefix="0" xfId="0"/>
  </cellXfs>
  <cellStyles count="3">
    <cellStyle name="Normal" xfId="0" builtinId="0"/>
    <cellStyle name="Normal 2" xfId="1"/>
    <cellStyle name="Porcentaje" xfId="2" builtinId="5"/>
  </cellStyles>
  <dxfs count="670">
    <dxf>
      <fill>
        <patternFill>
          <bgColor rgb="FFFFC000"/>
        </patternFill>
      </fill>
    </dxf>
    <dxf>
      <fill>
        <patternFill>
          <bgColor rgb="FF008A3E"/>
        </patternFill>
      </fill>
    </dxf>
    <dxf>
      <fill>
        <patternFill>
          <bgColor rgb="FFFF0000"/>
        </patternFill>
      </fill>
    </dxf>
    <dxf>
      <fill>
        <patternFill>
          <bgColor theme="2" tint="-0.24994659260841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8A3E"/>
        </patternFill>
      </fill>
    </dxf>
    <dxf>
      <fill>
        <patternFill>
          <bgColor rgb="FFFFC000"/>
        </patternFill>
      </fill>
    </dxf>
    <dxf>
      <fill>
        <patternFill>
          <bgColor theme="2" tint="-0.249946592608417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8A3E"/>
        </patternFill>
      </fill>
    </dxf>
    <dxf>
      <fill>
        <patternFill>
          <bgColor rgb="FFFF0000"/>
        </patternFill>
      </fill>
    </dxf>
    <dxf>
      <fill>
        <patternFill>
          <bgColor theme="2" tint="-0.24994659260841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8A3E"/>
        </patternFill>
      </fill>
    </dxf>
    <dxf>
      <fill>
        <patternFill>
          <bgColor rgb="FFFFC000"/>
        </patternFill>
      </fill>
    </dxf>
    <dxf>
      <fill>
        <patternFill>
          <bgColor theme="2" tint="-0.249946592608417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8A3E"/>
        </patternFill>
      </fill>
    </dxf>
    <dxf>
      <fill>
        <patternFill>
          <bgColor rgb="FFFF0000"/>
        </patternFill>
      </fill>
    </dxf>
    <dxf>
      <fill>
        <patternFill>
          <bgColor theme="2" tint="-0.24994659260841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8A3E"/>
        </patternFill>
      </fill>
    </dxf>
    <dxf>
      <fill>
        <patternFill>
          <bgColor rgb="FFFFC000"/>
        </patternFill>
      </fill>
    </dxf>
    <dxf>
      <fill>
        <patternFill>
          <bgColor theme="2" tint="-0.249946592608417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8A3E"/>
        </patternFill>
      </fill>
    </dxf>
    <dxf>
      <fill>
        <patternFill>
          <bgColor rgb="FFFF0000"/>
        </patternFill>
      </fill>
    </dxf>
    <dxf>
      <fill>
        <patternFill>
          <bgColor theme="2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8A3E"/>
        </patternFill>
      </fill>
    </dxf>
    <dxf>
      <fill>
        <patternFill>
          <bgColor rgb="FFFFC000"/>
        </patternFill>
      </fill>
    </dxf>
    <dxf>
      <fill>
        <patternFill>
          <bgColor theme="2" tint="-0.249946592608417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8A3E"/>
        </patternFill>
      </fill>
    </dxf>
    <dxf>
      <fill>
        <patternFill>
          <bgColor rgb="FFFF0000"/>
        </patternFill>
      </fill>
    </dxf>
    <dxf>
      <fill>
        <patternFill>
          <bgColor theme="2" tint="-0.24994659260841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8A3E"/>
        </patternFill>
      </fill>
    </dxf>
    <dxf>
      <fill>
        <patternFill>
          <bgColor rgb="FFFFC000"/>
        </patternFill>
      </fill>
    </dxf>
    <dxf>
      <fill>
        <patternFill>
          <bgColor theme="2" tint="-0.249946592608417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8A3E"/>
        </patternFill>
      </fill>
    </dxf>
    <dxf>
      <fill>
        <patternFill>
          <bgColor rgb="FFFF0000"/>
        </patternFill>
      </fill>
    </dxf>
    <dxf>
      <fill>
        <patternFill>
          <bgColor theme="2" tint="-0.24994659260841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8A3E"/>
        </patternFill>
      </fill>
    </dxf>
    <dxf>
      <fill>
        <patternFill>
          <bgColor rgb="FFFFC000"/>
        </patternFill>
      </fill>
    </dxf>
    <dxf>
      <fill>
        <patternFill>
          <bgColor theme="2" tint="-0.249946592608417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8A3E"/>
        </patternFill>
      </fill>
    </dxf>
    <dxf>
      <fill>
        <patternFill>
          <bgColor rgb="FFFF0000"/>
        </patternFill>
      </fill>
    </dxf>
    <dxf>
      <fill>
        <patternFill>
          <bgColor theme="2" tint="-0.24994659260841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8A3E"/>
        </patternFill>
      </fill>
    </dxf>
    <dxf>
      <fill>
        <patternFill>
          <bgColor rgb="FFFFC000"/>
        </patternFill>
      </fill>
    </dxf>
    <dxf>
      <fill>
        <patternFill>
          <bgColor theme="2" tint="-0.249946592608417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8A3E"/>
        </patternFill>
      </fill>
    </dxf>
    <dxf>
      <fill>
        <patternFill>
          <bgColor rgb="FFFF0000"/>
        </patternFill>
      </fill>
    </dxf>
    <dxf>
      <fill>
        <patternFill>
          <bgColor theme="2" tint="-0.24994659260841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8A3E"/>
        </patternFill>
      </fill>
    </dxf>
    <dxf>
      <fill>
        <patternFill>
          <bgColor rgb="FFFFC000"/>
        </patternFill>
      </fill>
    </dxf>
    <dxf>
      <fill>
        <patternFill>
          <bgColor theme="2" tint="-0.249946592608417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8A3E"/>
        </patternFill>
      </fill>
    </dxf>
    <dxf>
      <fill>
        <patternFill>
          <bgColor rgb="FFFF0000"/>
        </patternFill>
      </fill>
    </dxf>
    <dxf>
      <fill>
        <patternFill>
          <bgColor theme="2" tint="-0.24994659260841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8A3E"/>
        </patternFill>
      </fill>
    </dxf>
    <dxf>
      <fill>
        <patternFill>
          <bgColor rgb="FFFFC000"/>
        </patternFill>
      </fill>
    </dxf>
    <dxf>
      <fill>
        <patternFill>
          <bgColor theme="2" tint="-0.249946592608417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2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8A3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8A3E"/>
        </patternFill>
      </fill>
    </dxf>
    <dxf>
      <fill>
        <patternFill>
          <bgColor rgb="FFFFC000"/>
        </patternFill>
      </fill>
    </dxf>
    <dxf>
      <fill>
        <patternFill>
          <bgColor theme="2" tint="-0.249946592608417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8A3E"/>
        </patternFill>
      </fill>
    </dxf>
    <dxf>
      <fill>
        <patternFill>
          <bgColor rgb="FFFF0000"/>
        </patternFill>
      </fill>
    </dxf>
    <dxf>
      <fill>
        <patternFill>
          <bgColor theme="2" tint="-0.24994659260841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8A3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2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2" tint="-0.249946592608417"/>
        </patternFill>
      </fill>
    </dxf>
    <dxf>
      <fill>
        <patternFill>
          <bgColor rgb="FFFFC000"/>
        </patternFill>
      </fill>
    </dxf>
    <dxf>
      <fill>
        <patternFill>
          <bgColor rgb="FF008A3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8A3E"/>
        </patternFill>
      </fill>
    </dxf>
    <dxf>
      <fill>
        <patternFill>
          <bgColor rgb="FFFFC000"/>
        </patternFill>
      </fill>
    </dxf>
    <dxf>
      <fill>
        <patternFill>
          <bgColor theme="2" tint="-0.249946592608417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2" tint="-0.249946592608417"/>
        </patternFill>
      </fill>
    </dxf>
    <dxf>
      <fill>
        <patternFill>
          <bgColor rgb="FFFF0000"/>
        </patternFill>
      </fill>
    </dxf>
    <dxf>
      <fill>
        <patternFill>
          <bgColor rgb="FF008A3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2" tint="-0.249946592608417"/>
        </patternFill>
      </fill>
    </dxf>
    <dxf>
      <fill>
        <patternFill>
          <bgColor rgb="FFFFC000"/>
        </patternFill>
      </fill>
    </dxf>
    <dxf>
      <fill>
        <patternFill>
          <bgColor rgb="FF008A3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1"/>
    <outlinePr summaryBelow="1" summaryRight="1"/>
    <pageSetUpPr fitToPage="1"/>
  </sheetPr>
  <dimension ref="A1:BI75"/>
  <sheetViews>
    <sheetView showGridLines="0" tabSelected="1" view="pageBreakPreview" topLeftCell="A22" zoomScale="70" zoomScaleNormal="70" zoomScaleSheetLayoutView="70" workbookViewId="0">
      <selection activeCell="AT66" sqref="AT66"/>
    </sheetView>
  </sheetViews>
  <sheetFormatPr baseColWidth="10" defaultRowHeight="12"/>
  <cols>
    <col width="3.5703125" customWidth="1" style="1" min="1" max="1"/>
    <col width="37.7109375" customWidth="1" style="1" min="2" max="2"/>
    <col width="14.85546875" customWidth="1" style="1" min="3" max="27"/>
    <col width="2.140625" customWidth="1" style="1" min="28" max="28"/>
    <col width="4" customWidth="1" style="1" min="29" max="29"/>
    <col width="6.85546875" customWidth="1" style="1" min="30" max="30"/>
    <col width="4.140625" customWidth="1" style="1" min="31" max="31"/>
    <col width="6.7109375" customWidth="1" style="1" min="32" max="32"/>
    <col width="6.5703125" customWidth="1" style="1" min="33" max="33"/>
    <col width="22.42578125" customWidth="1" style="1" min="34" max="34"/>
    <col width="15.28515625" customWidth="1" style="1" min="35" max="38"/>
    <col width="3.5703125" customWidth="1" style="1" min="39" max="39"/>
    <col width="37.7109375" customWidth="1" style="1" min="40" max="40"/>
    <col width="14.85546875" customWidth="1" style="1" min="41" max="50"/>
    <col width="2.140625" customWidth="1" style="1" min="51" max="51"/>
    <col width="4" customWidth="1" style="1" min="52" max="52"/>
    <col width="6.85546875" customWidth="1" style="1" min="53" max="53"/>
    <col width="4.140625" customWidth="1" style="1" min="54" max="54"/>
    <col width="6.7109375" customWidth="1" style="1" min="55" max="55"/>
    <col width="6.5703125" customWidth="1" style="1" min="56" max="56"/>
    <col width="22.42578125" customWidth="1" style="1" min="57" max="57"/>
    <col width="15.28515625" customWidth="1" style="1" min="58" max="61"/>
    <col width="11.42578125" customWidth="1" style="1" min="62" max="16384"/>
  </cols>
  <sheetData>
    <row r="1" ht="27.95" customHeight="1" thickBot="1">
      <c r="A1" s="387" t="inlineStr">
        <is>
          <t>REPORTE DE ANÁLISIS DE LUBRICANTE</t>
        </is>
      </c>
      <c r="B1" s="388" t="n"/>
      <c r="C1" s="388" t="n"/>
      <c r="D1" s="388" t="n"/>
      <c r="E1" s="388" t="n"/>
      <c r="F1" s="388" t="n"/>
      <c r="G1" s="388" t="n"/>
      <c r="H1" s="388" t="n"/>
      <c r="I1" s="388" t="n"/>
      <c r="J1" s="388" t="n"/>
      <c r="K1" s="388" t="n"/>
      <c r="L1" s="388" t="n"/>
      <c r="M1" s="388" t="n"/>
      <c r="N1" s="388" t="n"/>
      <c r="O1" s="388" t="n"/>
      <c r="P1" s="388" t="n"/>
      <c r="Q1" s="388" t="n"/>
      <c r="R1" s="388" t="n"/>
      <c r="S1" s="388" t="n"/>
      <c r="T1" s="388" t="n"/>
      <c r="U1" s="388" t="n"/>
      <c r="V1" s="388" t="n"/>
      <c r="W1" s="388" t="n"/>
      <c r="X1" s="388" t="n"/>
      <c r="Y1" s="388" t="n"/>
      <c r="Z1" s="388" t="n"/>
      <c r="AA1" s="388" t="n"/>
      <c r="AB1" s="388" t="n"/>
      <c r="AC1" s="388" t="n"/>
      <c r="AD1" s="388" t="n"/>
      <c r="AE1" s="388" t="n"/>
      <c r="AF1" s="388" t="n"/>
      <c r="AG1" s="388" t="n"/>
      <c r="AH1" s="388" t="n"/>
      <c r="AI1" s="388" t="n"/>
      <c r="AJ1" s="388" t="n"/>
      <c r="AK1" s="388" t="n"/>
      <c r="AL1" s="389" t="n"/>
      <c r="AM1" s="387" t="n"/>
      <c r="AN1" s="388" t="n"/>
      <c r="AO1" s="388" t="n"/>
      <c r="AP1" s="388" t="n"/>
      <c r="AQ1" s="388" t="n"/>
      <c r="AR1" s="388" t="n"/>
      <c r="AS1" s="388" t="n"/>
      <c r="AT1" s="388" t="n"/>
      <c r="AU1" s="388" t="n"/>
      <c r="AV1" s="388" t="n"/>
      <c r="AW1" s="388" t="n"/>
      <c r="AX1" s="388" t="n"/>
      <c r="AY1" s="388" t="n"/>
      <c r="AZ1" s="388" t="n"/>
      <c r="BA1" s="388" t="n"/>
      <c r="BB1" s="388" t="n"/>
      <c r="BC1" s="388" t="n"/>
      <c r="BD1" s="388" t="n"/>
      <c r="BE1" s="388" t="n"/>
      <c r="BF1" s="388" t="n"/>
      <c r="BG1" s="388" t="n"/>
      <c r="BH1" s="388" t="n"/>
      <c r="BI1" s="389" t="n"/>
    </row>
    <row r="2" ht="24" customHeight="1" thickBot="1">
      <c r="A2" s="390" t="n"/>
      <c r="B2" s="391" t="n"/>
      <c r="C2" s="392" t="inlineStr">
        <is>
          <t>NOMBRE DEL CLIENTE:</t>
        </is>
      </c>
      <c r="D2" s="393" t="n"/>
      <c r="E2" s="393" t="n"/>
      <c r="F2" s="393" t="n"/>
      <c r="G2" s="391" t="n"/>
      <c r="H2" s="240" t="inlineStr">
        <is>
          <t>Compartimento:</t>
        </is>
      </c>
      <c r="I2" s="394" t="n"/>
      <c r="J2" s="394" t="n"/>
      <c r="K2" s="394" t="n"/>
      <c r="L2" s="394" t="n"/>
      <c r="M2" s="394" t="n"/>
      <c r="N2" s="394" t="n"/>
      <c r="O2" s="394" t="n"/>
      <c r="P2" s="394" t="n"/>
      <c r="Q2" s="394" t="n"/>
      <c r="R2" s="394" t="n"/>
      <c r="S2" s="394" t="n"/>
      <c r="T2" s="394" t="n"/>
      <c r="U2" s="394" t="n"/>
      <c r="V2" s="394" t="n"/>
      <c r="W2" s="394" t="n"/>
      <c r="X2" s="394" t="n"/>
      <c r="Y2" s="394" t="n"/>
      <c r="Z2" s="395" t="n"/>
      <c r="AA2" s="241" t="inlineStr">
        <is>
          <t>MOTOR</t>
        </is>
      </c>
      <c r="AB2" s="394" t="n"/>
      <c r="AC2" s="394" t="n"/>
      <c r="AD2" s="394" t="n"/>
      <c r="AE2" s="394" t="n"/>
      <c r="AF2" s="394" t="n"/>
      <c r="AG2" s="395" t="n"/>
      <c r="AH2" s="396" t="inlineStr">
        <is>
          <t>Diagnóstico de la última muestra:</t>
        </is>
      </c>
      <c r="AI2" s="388" t="n"/>
      <c r="AJ2" s="388" t="n"/>
      <c r="AK2" s="388" t="n"/>
      <c r="AL2" s="389" t="n"/>
      <c r="AM2" s="390" t="n"/>
      <c r="AN2" s="391" t="n"/>
      <c r="AO2" s="392" t="n"/>
      <c r="AP2" s="393" t="n"/>
      <c r="AQ2" s="393" t="n"/>
      <c r="AR2" s="393" t="n"/>
      <c r="AS2" s="391" t="n"/>
      <c r="AT2" s="240" t="n"/>
      <c r="AU2" s="394" t="n"/>
      <c r="AV2" s="394" t="n"/>
      <c r="AW2" s="395" t="n"/>
      <c r="AX2" s="241" t="n"/>
      <c r="AY2" s="394" t="n"/>
      <c r="AZ2" s="394" t="n"/>
      <c r="BA2" s="394" t="n"/>
      <c r="BB2" s="394" t="n"/>
      <c r="BC2" s="394" t="n"/>
      <c r="BD2" s="395" t="n"/>
      <c r="BE2" s="396" t="n"/>
      <c r="BF2" s="388" t="n"/>
      <c r="BG2" s="388" t="n"/>
      <c r="BH2" s="388" t="n"/>
      <c r="BI2" s="389" t="n"/>
    </row>
    <row r="3" ht="24" customHeight="1" thickBot="1">
      <c r="A3" s="20" t="n"/>
      <c r="B3" s="397" t="n"/>
      <c r="C3" s="398" t="n"/>
      <c r="G3" s="397" t="n"/>
      <c r="H3" s="221" t="inlineStr">
        <is>
          <t>Equipo:</t>
        </is>
      </c>
      <c r="I3" s="399" t="n"/>
      <c r="J3" s="399" t="n"/>
      <c r="K3" s="399" t="n"/>
      <c r="L3" s="399" t="n"/>
      <c r="M3" s="399" t="n"/>
      <c r="N3" s="399" t="n"/>
      <c r="O3" s="399" t="n"/>
      <c r="P3" s="399" t="n"/>
      <c r="Q3" s="399" t="n"/>
      <c r="R3" s="399" t="n"/>
      <c r="S3" s="399" t="n"/>
      <c r="T3" s="399" t="n"/>
      <c r="U3" s="399" t="n"/>
      <c r="V3" s="399" t="n"/>
      <c r="W3" s="399" t="n"/>
      <c r="X3" s="399" t="n"/>
      <c r="Y3" s="399" t="n"/>
      <c r="Z3" s="400" t="n"/>
      <c r="AA3" s="210" t="inlineStr">
        <is>
          <t>UG 00</t>
        </is>
      </c>
      <c r="AB3" s="399" t="n"/>
      <c r="AC3" s="399" t="n"/>
      <c r="AD3" s="399" t="n"/>
      <c r="AE3" s="399" t="n"/>
      <c r="AF3" s="399" t="n"/>
      <c r="AG3" s="400" t="n"/>
      <c r="AH3" s="401" t="inlineStr">
        <is>
          <t>SIN EVALUACION</t>
        </is>
      </c>
      <c r="AI3" s="388" t="n"/>
      <c r="AJ3" s="388" t="n"/>
      <c r="AK3" s="388" t="n"/>
      <c r="AL3" s="389" t="n"/>
      <c r="AM3" s="20" t="n"/>
      <c r="AN3" s="397" t="n"/>
      <c r="AO3" s="398" t="n"/>
      <c r="AS3" s="397" t="n"/>
      <c r="AT3" s="221" t="n"/>
      <c r="AU3" s="399" t="n"/>
      <c r="AV3" s="399" t="n"/>
      <c r="AW3" s="400" t="n"/>
      <c r="AX3" s="210" t="n"/>
      <c r="AY3" s="399" t="n"/>
      <c r="AZ3" s="399" t="n"/>
      <c r="BA3" s="399" t="n"/>
      <c r="BB3" s="399" t="n"/>
      <c r="BC3" s="399" t="n"/>
      <c r="BD3" s="400" t="n"/>
      <c r="BE3" s="402" t="n"/>
      <c r="BF3" s="393" t="n"/>
      <c r="BG3" s="393" t="n"/>
      <c r="BH3" s="393" t="n"/>
      <c r="BI3" s="403" t="n"/>
    </row>
    <row r="4" ht="24" customHeight="1" thickBot="1">
      <c r="A4" s="20" t="n"/>
      <c r="B4" s="397" t="n"/>
      <c r="C4" s="404" t="inlineStr">
        <is>
          <t>JUSTICE COMPANY</t>
        </is>
      </c>
      <c r="G4" s="397" t="n"/>
      <c r="H4" s="221" t="inlineStr">
        <is>
          <t>Marca:</t>
        </is>
      </c>
      <c r="I4" s="399" t="n"/>
      <c r="J4" s="399" t="n"/>
      <c r="K4" s="399" t="n"/>
      <c r="L4" s="399" t="n"/>
      <c r="M4" s="399" t="n"/>
      <c r="N4" s="399" t="n"/>
      <c r="O4" s="399" t="n"/>
      <c r="P4" s="399" t="n"/>
      <c r="Q4" s="399" t="n"/>
      <c r="R4" s="399" t="n"/>
      <c r="S4" s="399" t="n"/>
      <c r="T4" s="399" t="n"/>
      <c r="U4" s="399" t="n"/>
      <c r="V4" s="399" t="n"/>
      <c r="W4" s="399" t="n"/>
      <c r="X4" s="399" t="n"/>
      <c r="Y4" s="399" t="n"/>
      <c r="Z4" s="400" t="n"/>
      <c r="AA4" s="210" t="inlineStr">
        <is>
          <t>MARCA EQUIPO</t>
        </is>
      </c>
      <c r="AB4" s="399" t="n"/>
      <c r="AC4" s="399" t="n"/>
      <c r="AD4" s="399" t="n"/>
      <c r="AE4" s="399" t="n"/>
      <c r="AF4" s="399" t="n"/>
      <c r="AG4" s="400" t="n"/>
      <c r="AH4" s="405" t="inlineStr">
        <is>
          <t>Degradación del lubricante aún no afecta al desgate. Se sugiere seguir con el monitoreo periódico de las condiciones del lubricante y del equipo.</t>
        </is>
      </c>
      <c r="AI4" s="393" t="n"/>
      <c r="AJ4" s="393" t="n"/>
      <c r="AK4" s="393" t="n"/>
      <c r="AL4" s="403" t="n"/>
      <c r="AM4" s="20" t="n"/>
      <c r="AN4" s="397" t="n"/>
      <c r="AO4" s="404" t="n"/>
      <c r="AS4" s="397" t="n"/>
      <c r="AT4" s="221" t="n"/>
      <c r="AU4" s="399" t="n"/>
      <c r="AV4" s="399" t="n"/>
      <c r="AW4" s="400" t="n"/>
      <c r="AX4" s="210" t="n"/>
      <c r="AY4" s="399" t="n"/>
      <c r="AZ4" s="399" t="n"/>
      <c r="BA4" s="399" t="n"/>
      <c r="BB4" s="399" t="n"/>
      <c r="BC4" s="399" t="n"/>
      <c r="BD4" s="400" t="n"/>
      <c r="BE4" s="406" t="n"/>
      <c r="BF4" s="73" t="n"/>
      <c r="BG4" s="73" t="n"/>
      <c r="BH4" s="73" t="n"/>
      <c r="BI4" s="407" t="n"/>
    </row>
    <row r="5" ht="24" customHeight="1">
      <c r="A5" s="20" t="n"/>
      <c r="B5" s="397" t="n"/>
      <c r="C5" s="398" t="n"/>
      <c r="G5" s="397" t="n"/>
      <c r="H5" s="221" t="inlineStr">
        <is>
          <t>Serie:</t>
        </is>
      </c>
      <c r="I5" s="399" t="n"/>
      <c r="J5" s="399" t="n"/>
      <c r="K5" s="399" t="n"/>
      <c r="L5" s="399" t="n"/>
      <c r="M5" s="399" t="n"/>
      <c r="N5" s="399" t="n"/>
      <c r="O5" s="399" t="n"/>
      <c r="P5" s="399" t="n"/>
      <c r="Q5" s="399" t="n"/>
      <c r="R5" s="399" t="n"/>
      <c r="S5" s="399" t="n"/>
      <c r="T5" s="399" t="n"/>
      <c r="U5" s="399" t="n"/>
      <c r="V5" s="399" t="n"/>
      <c r="W5" s="399" t="n"/>
      <c r="X5" s="399" t="n"/>
      <c r="Y5" s="399" t="n"/>
      <c r="Z5" s="400" t="n"/>
      <c r="AA5" s="210" t="inlineStr">
        <is>
          <t>SERIE</t>
        </is>
      </c>
      <c r="AB5" s="399" t="n"/>
      <c r="AC5" s="399" t="n"/>
      <c r="AD5" s="399" t="n"/>
      <c r="AE5" s="399" t="n"/>
      <c r="AF5" s="399" t="n"/>
      <c r="AG5" s="400" t="n"/>
      <c r="AH5" s="20" t="n"/>
      <c r="AL5" s="21" t="n"/>
      <c r="AM5" s="20" t="n"/>
      <c r="AN5" s="397" t="n"/>
      <c r="AO5" s="398" t="n"/>
      <c r="AS5" s="397" t="n"/>
      <c r="AT5" s="221" t="n"/>
      <c r="AU5" s="399" t="n"/>
      <c r="AV5" s="399" t="n"/>
      <c r="AW5" s="400" t="n"/>
      <c r="AX5" s="210" t="n"/>
      <c r="AY5" s="399" t="n"/>
      <c r="AZ5" s="399" t="n"/>
      <c r="BA5" s="399" t="n"/>
      <c r="BB5" s="399" t="n"/>
      <c r="BC5" s="399" t="n"/>
      <c r="BD5" s="400" t="n"/>
      <c r="BE5" s="405" t="n"/>
      <c r="BF5" s="393" t="n"/>
      <c r="BG5" s="393" t="n"/>
      <c r="BH5" s="393" t="n"/>
      <c r="BI5" s="403" t="n"/>
    </row>
    <row r="6" ht="24" customHeight="1">
      <c r="A6" s="20" t="n"/>
      <c r="B6" s="397" t="n"/>
      <c r="C6" s="398" t="n"/>
      <c r="G6" s="397" t="n"/>
      <c r="H6" s="221" t="inlineStr">
        <is>
          <t>Modelo:</t>
        </is>
      </c>
      <c r="I6" s="399" t="n"/>
      <c r="J6" s="399" t="n"/>
      <c r="K6" s="399" t="n"/>
      <c r="L6" s="399" t="n"/>
      <c r="M6" s="399" t="n"/>
      <c r="N6" s="399" t="n"/>
      <c r="O6" s="399" t="n"/>
      <c r="P6" s="399" t="n"/>
      <c r="Q6" s="399" t="n"/>
      <c r="R6" s="399" t="n"/>
      <c r="S6" s="399" t="n"/>
      <c r="T6" s="399" t="n"/>
      <c r="U6" s="399" t="n"/>
      <c r="V6" s="399" t="n"/>
      <c r="W6" s="399" t="n"/>
      <c r="X6" s="399" t="n"/>
      <c r="Y6" s="399" t="n"/>
      <c r="Z6" s="400" t="n"/>
      <c r="AA6" s="210" t="inlineStr">
        <is>
          <t>MODELO</t>
        </is>
      </c>
      <c r="AB6" s="399" t="n"/>
      <c r="AC6" s="399" t="n"/>
      <c r="AD6" s="399" t="n"/>
      <c r="AE6" s="399" t="n"/>
      <c r="AF6" s="399" t="n"/>
      <c r="AG6" s="400" t="n"/>
      <c r="AH6" s="20" t="n"/>
      <c r="AL6" s="21" t="n"/>
      <c r="AM6" s="20" t="n"/>
      <c r="AN6" s="397" t="n"/>
      <c r="AO6" s="398" t="n"/>
      <c r="AS6" s="397" t="n"/>
      <c r="AT6" s="221" t="n"/>
      <c r="AU6" s="399" t="n"/>
      <c r="AV6" s="399" t="n"/>
      <c r="AW6" s="400" t="n"/>
      <c r="AX6" s="210" t="n"/>
      <c r="AY6" s="399" t="n"/>
      <c r="AZ6" s="399" t="n"/>
      <c r="BA6" s="399" t="n"/>
      <c r="BB6" s="399" t="n"/>
      <c r="BC6" s="399" t="n"/>
      <c r="BD6" s="400" t="n"/>
      <c r="BE6" s="20" t="n"/>
      <c r="BI6" s="21" t="n"/>
    </row>
    <row r="7" ht="24" customHeight="1">
      <c r="A7" s="20" t="n"/>
      <c r="B7" s="397" t="n"/>
      <c r="C7" s="398" t="n"/>
      <c r="G7" s="397" t="n"/>
      <c r="H7" s="221" t="inlineStr">
        <is>
          <t>Lubricante:</t>
        </is>
      </c>
      <c r="I7" s="399" t="n"/>
      <c r="J7" s="399" t="n"/>
      <c r="K7" s="399" t="n"/>
      <c r="L7" s="399" t="n"/>
      <c r="M7" s="399" t="n"/>
      <c r="N7" s="399" t="n"/>
      <c r="O7" s="399" t="n"/>
      <c r="P7" s="399" t="n"/>
      <c r="Q7" s="399" t="n"/>
      <c r="R7" s="399" t="n"/>
      <c r="S7" s="399" t="n"/>
      <c r="T7" s="399" t="n"/>
      <c r="U7" s="399" t="n"/>
      <c r="V7" s="399" t="n"/>
      <c r="W7" s="399" t="n"/>
      <c r="X7" s="399" t="n"/>
      <c r="Y7" s="399" t="n"/>
      <c r="Z7" s="400" t="n"/>
      <c r="AA7" s="210" t="inlineStr">
        <is>
          <t>15W40</t>
        </is>
      </c>
      <c r="AB7" s="399" t="n"/>
      <c r="AC7" s="399" t="n"/>
      <c r="AD7" s="399" t="n"/>
      <c r="AE7" s="399" t="n"/>
      <c r="AF7" s="399" t="n"/>
      <c r="AG7" s="400" t="n"/>
      <c r="AH7" s="20" t="n"/>
      <c r="AL7" s="21" t="n"/>
      <c r="AM7" s="20" t="n"/>
      <c r="AN7" s="397" t="n"/>
      <c r="AO7" s="398" t="n"/>
      <c r="AS7" s="397" t="n"/>
      <c r="AT7" s="221" t="n"/>
      <c r="AU7" s="399" t="n"/>
      <c r="AV7" s="399" t="n"/>
      <c r="AW7" s="400" t="n"/>
      <c r="AX7" s="210" t="n"/>
      <c r="AY7" s="399" t="n"/>
      <c r="AZ7" s="399" t="n"/>
      <c r="BA7" s="399" t="n"/>
      <c r="BB7" s="399" t="n"/>
      <c r="BC7" s="399" t="n"/>
      <c r="BD7" s="400" t="n"/>
      <c r="BE7" s="20" t="n"/>
      <c r="BI7" s="21" t="n"/>
    </row>
    <row r="8" ht="24" customHeight="1" thickBot="1">
      <c r="A8" s="406" t="n"/>
      <c r="B8" s="408" t="n"/>
      <c r="C8" s="409" t="n"/>
      <c r="D8" s="73" t="n"/>
      <c r="E8" s="73" t="n"/>
      <c r="F8" s="73" t="n"/>
      <c r="G8" s="408" t="n"/>
      <c r="H8" s="222" t="inlineStr">
        <is>
          <t xml:space="preserve">Marca del Lubricante: </t>
        </is>
      </c>
      <c r="I8" s="410" t="n"/>
      <c r="J8" s="410" t="n"/>
      <c r="K8" s="410" t="n"/>
      <c r="L8" s="410" t="n"/>
      <c r="M8" s="410" t="n"/>
      <c r="N8" s="410" t="n"/>
      <c r="O8" s="410" t="n"/>
      <c r="P8" s="410" t="n"/>
      <c r="Q8" s="410" t="n"/>
      <c r="R8" s="410" t="n"/>
      <c r="S8" s="410" t="n"/>
      <c r="T8" s="410" t="n"/>
      <c r="U8" s="410" t="n"/>
      <c r="V8" s="410" t="n"/>
      <c r="W8" s="410" t="n"/>
      <c r="X8" s="410" t="n"/>
      <c r="Y8" s="410" t="n"/>
      <c r="Z8" s="411" t="n"/>
      <c r="AA8" s="261" t="inlineStr">
        <is>
          <t>GULF</t>
        </is>
      </c>
      <c r="AB8" s="410" t="n"/>
      <c r="AC8" s="410" t="n"/>
      <c r="AD8" s="410" t="n"/>
      <c r="AE8" s="410" t="n"/>
      <c r="AF8" s="410" t="n"/>
      <c r="AG8" s="411" t="n"/>
      <c r="AH8" s="406" t="n"/>
      <c r="AI8" s="73" t="n"/>
      <c r="AJ8" s="73" t="n"/>
      <c r="AK8" s="73" t="n"/>
      <c r="AL8" s="407" t="n"/>
      <c r="AM8" s="406" t="n"/>
      <c r="AN8" s="408" t="n"/>
      <c r="AO8" s="409" t="n"/>
      <c r="AP8" s="73" t="n"/>
      <c r="AQ8" s="73" t="n"/>
      <c r="AR8" s="73" t="n"/>
      <c r="AS8" s="408" t="n"/>
      <c r="AT8" s="222" t="n"/>
      <c r="AU8" s="410" t="n"/>
      <c r="AV8" s="410" t="n"/>
      <c r="AW8" s="411" t="n"/>
      <c r="AX8" s="210" t="n"/>
      <c r="AY8" s="399" t="n"/>
      <c r="AZ8" s="399" t="n"/>
      <c r="BA8" s="399" t="n"/>
      <c r="BB8" s="399" t="n"/>
      <c r="BC8" s="399" t="n"/>
      <c r="BD8" s="400" t="n"/>
      <c r="BE8" s="406" t="n"/>
      <c r="BF8" s="73" t="n"/>
      <c r="BG8" s="73" t="n"/>
      <c r="BH8" s="73" t="n"/>
      <c r="BI8" s="407" t="n"/>
    </row>
    <row r="9" ht="15.75" customHeight="1">
      <c r="A9" s="9" t="n"/>
      <c r="B9" s="223" t="n"/>
      <c r="AE9" s="223" t="n"/>
      <c r="AF9" s="30" t="n"/>
      <c r="AG9" s="31" t="n"/>
      <c r="AH9" s="72" t="n"/>
      <c r="AI9" s="71" t="n"/>
      <c r="AJ9" s="71" t="n"/>
      <c r="AK9" s="71" t="n"/>
      <c r="AL9" s="84" t="n"/>
      <c r="AM9" s="9" t="n"/>
      <c r="AN9" s="223" t="n"/>
      <c r="BB9" s="223" t="n"/>
      <c r="BC9" s="30" t="n"/>
      <c r="BD9" s="31" t="n"/>
      <c r="BE9" s="72" t="n"/>
      <c r="BF9" s="71" t="n"/>
      <c r="BG9" s="71" t="n"/>
      <c r="BH9" s="71" t="n"/>
      <c r="BI9" s="84" t="n"/>
    </row>
    <row r="10" ht="15.75" customHeight="1">
      <c r="A10" s="9" t="n"/>
      <c r="B10" s="208" t="inlineStr">
        <is>
          <t>INFORMACIÓN DE LA MUESTRA</t>
        </is>
      </c>
      <c r="C10" s="412" t="n"/>
      <c r="D10" s="412" t="n"/>
      <c r="E10" s="412" t="n"/>
      <c r="F10" s="412" t="n"/>
      <c r="G10" s="412" t="n"/>
      <c r="H10" s="412" t="n"/>
      <c r="I10" s="412" t="n"/>
      <c r="J10" s="412" t="n"/>
      <c r="K10" s="412" t="n"/>
      <c r="L10" s="412" t="n"/>
      <c r="M10" s="412" t="n"/>
      <c r="N10" s="412" t="n"/>
      <c r="O10" s="412" t="n"/>
      <c r="P10" s="412" t="n"/>
      <c r="Q10" s="412" t="n"/>
      <c r="R10" s="412" t="n"/>
      <c r="S10" s="412" t="n"/>
      <c r="T10" s="412" t="n"/>
      <c r="U10" s="412" t="n"/>
      <c r="V10" s="412" t="n"/>
      <c r="W10" s="412" t="n"/>
      <c r="X10" s="412" t="n"/>
      <c r="Y10" s="412" t="n"/>
      <c r="Z10" s="412" t="n"/>
      <c r="AA10" s="413" t="n"/>
      <c r="AB10" s="30" t="n"/>
      <c r="AC10" s="30" t="n"/>
      <c r="AD10" s="30" t="n"/>
      <c r="AE10" s="30" t="n"/>
      <c r="AF10" s="30" t="n"/>
      <c r="AG10" s="31" t="n"/>
      <c r="AH10" s="72" t="n"/>
      <c r="AI10" s="71" t="n"/>
      <c r="AJ10" s="71" t="n"/>
      <c r="AK10" s="71" t="n"/>
      <c r="AL10" s="84" t="n"/>
      <c r="AM10" s="9" t="n"/>
      <c r="AN10" s="208" t="n"/>
      <c r="AO10" s="412" t="n"/>
      <c r="AP10" s="412" t="n"/>
      <c r="AQ10" s="412" t="n"/>
      <c r="AR10" s="412" t="n"/>
      <c r="AS10" s="412" t="n"/>
      <c r="AT10" s="412" t="n"/>
      <c r="AU10" s="412" t="n"/>
      <c r="AV10" s="412" t="n"/>
      <c r="AW10" s="412" t="n"/>
      <c r="AX10" s="413" t="n"/>
      <c r="AY10" s="30" t="n"/>
      <c r="AZ10" s="30" t="n"/>
      <c r="BA10" s="30" t="n"/>
      <c r="BB10" s="30" t="n"/>
      <c r="BC10" s="30" t="n"/>
      <c r="BD10" s="31" t="n"/>
      <c r="BE10" s="72" t="n"/>
      <c r="BF10" s="71" t="n"/>
      <c r="BG10" s="71" t="n"/>
      <c r="BH10" s="71" t="n"/>
      <c r="BI10" s="84" t="n"/>
    </row>
    <row r="11" ht="15" customHeight="1">
      <c r="A11" s="9" t="n"/>
      <c r="B11" s="414" t="n"/>
      <c r="C11" s="415" t="n"/>
      <c r="D11" s="415" t="n"/>
      <c r="E11" s="415" t="n"/>
      <c r="F11" s="415" t="n"/>
      <c r="G11" s="415" t="n"/>
      <c r="H11" s="415" t="n"/>
      <c r="I11" s="415" t="n"/>
      <c r="J11" s="415" t="n"/>
      <c r="K11" s="415" t="n"/>
      <c r="L11" s="415" t="n"/>
      <c r="M11" s="415" t="n"/>
      <c r="N11" s="415" t="n"/>
      <c r="O11" s="415" t="n"/>
      <c r="P11" s="415" t="n"/>
      <c r="Q11" s="415" t="n"/>
      <c r="R11" s="415" t="n"/>
      <c r="S11" s="415" t="n"/>
      <c r="T11" s="415" t="n"/>
      <c r="U11" s="415" t="n"/>
      <c r="V11" s="415" t="n"/>
      <c r="W11" s="415" t="n"/>
      <c r="X11" s="415" t="n"/>
      <c r="Y11" s="415" t="n"/>
      <c r="Z11" s="415" t="n"/>
      <c r="AA11" s="416" t="n"/>
      <c r="AB11" s="5" t="n"/>
      <c r="AC11" s="5" t="n"/>
      <c r="AD11" s="5" t="n"/>
      <c r="AE11" s="5" t="n"/>
      <c r="AF11" s="5" t="n"/>
      <c r="AG11" s="74" t="n"/>
      <c r="AH11" s="20" t="n"/>
      <c r="AL11" s="21" t="n"/>
      <c r="AM11" s="9" t="n"/>
      <c r="AN11" s="414" t="n"/>
      <c r="AO11" s="415" t="n"/>
      <c r="AP11" s="415" t="n"/>
      <c r="AQ11" s="415" t="n"/>
      <c r="AR11" s="415" t="n"/>
      <c r="AS11" s="415" t="n"/>
      <c r="AT11" s="415" t="n"/>
      <c r="AU11" s="415" t="n"/>
      <c r="AV11" s="415" t="n"/>
      <c r="AW11" s="415" t="n"/>
      <c r="AX11" s="416" t="n"/>
      <c r="AY11" s="5" t="n"/>
      <c r="AZ11" s="5" t="n"/>
      <c r="BA11" s="5" t="n"/>
      <c r="BB11" s="5" t="n"/>
      <c r="BC11" s="5" t="n"/>
      <c r="BD11" s="74" t="n"/>
      <c r="BE11" s="20" t="n"/>
      <c r="BI11" s="21" t="n"/>
    </row>
    <row r="12" ht="18" customHeight="1">
      <c r="A12" s="9" t="n"/>
      <c r="B12" s="87" t="inlineStr">
        <is>
          <t>Numeración de Muestra</t>
        </is>
      </c>
      <c r="C12" s="88" t="inlineStr">
        <is>
          <t>MUESTRA-001</t>
        </is>
      </c>
      <c r="D12" s="88" t="n"/>
      <c r="E12" s="88" t="n"/>
      <c r="F12" s="88" t="n"/>
      <c r="G12" s="88" t="n"/>
      <c r="H12" s="88" t="n"/>
      <c r="I12" s="88" t="n"/>
      <c r="J12" s="88" t="n"/>
      <c r="K12" s="88" t="n"/>
      <c r="L12" s="88" t="n"/>
      <c r="M12" s="88" t="n"/>
      <c r="N12" s="88" t="n"/>
      <c r="O12" s="88" t="n"/>
      <c r="P12" s="88" t="n"/>
      <c r="Q12" s="88" t="n"/>
      <c r="R12" s="88" t="n"/>
      <c r="S12" s="88" t="n"/>
      <c r="T12" s="88" t="n"/>
      <c r="U12" s="88" t="n"/>
      <c r="V12" s="88" t="n"/>
      <c r="W12" s="88" t="n"/>
      <c r="X12" s="88" t="n"/>
      <c r="Y12" s="88">
        <f>Datos!X27</f>
        <v/>
      </c>
      <c r="Z12" s="88" t="n"/>
      <c r="AA12" s="88" t="n"/>
      <c r="AG12" s="3" t="n"/>
      <c r="AH12" s="20" t="n"/>
      <c r="AL12" s="21" t="n"/>
      <c r="AM12" s="9" t="n"/>
      <c r="AN12" s="87" t="n"/>
      <c r="AO12" s="88" t="n"/>
      <c r="AP12" s="88" t="n"/>
      <c r="AQ12" s="88" t="n"/>
      <c r="AR12" s="88" t="n"/>
      <c r="AS12" s="88" t="n"/>
      <c r="AT12" s="88" t="n"/>
      <c r="AU12" s="88" t="n"/>
      <c r="AV12" s="88" t="n"/>
      <c r="AW12" s="88" t="n"/>
      <c r="AX12" s="88" t="n"/>
      <c r="BD12" s="3" t="n"/>
      <c r="BE12" s="20" t="n"/>
      <c r="BI12" s="21" t="n"/>
    </row>
    <row r="13" ht="18" customHeight="1">
      <c r="A13" s="9" t="n"/>
      <c r="B13" s="87" t="inlineStr">
        <is>
          <t>Fecha de Muestreo</t>
        </is>
      </c>
      <c r="C13" s="417" t="inlineStr">
        <is>
          <t>2026-03-28</t>
        </is>
      </c>
      <c r="D13" s="417" t="n"/>
      <c r="E13" s="417" t="n"/>
      <c r="F13" s="417" t="n"/>
      <c r="G13" s="417" t="n"/>
      <c r="H13" s="417" t="n"/>
      <c r="I13" s="417" t="n"/>
      <c r="J13" s="417" t="n"/>
      <c r="K13" s="417" t="n"/>
      <c r="L13" s="417" t="n"/>
      <c r="M13" s="417" t="n"/>
      <c r="N13" s="417" t="n"/>
      <c r="O13" s="417" t="n"/>
      <c r="P13" s="417" t="n"/>
      <c r="Q13" s="417" t="n"/>
      <c r="R13" s="417" t="n"/>
      <c r="S13" s="417" t="n"/>
      <c r="T13" s="417" t="n"/>
      <c r="U13" s="417" t="n"/>
      <c r="V13" s="417" t="n"/>
      <c r="W13" s="417" t="n"/>
      <c r="X13" s="417" t="n"/>
      <c r="Y13" s="417" t="n">
        <v>46042</v>
      </c>
      <c r="Z13" s="417" t="n"/>
      <c r="AA13" s="417" t="n"/>
      <c r="AG13" s="3" t="n"/>
      <c r="AH13" s="20" t="n"/>
      <c r="AL13" s="21" t="n"/>
      <c r="AM13" s="9" t="n"/>
      <c r="AN13" s="87" t="n"/>
      <c r="AO13" s="417" t="n"/>
      <c r="AP13" s="417" t="n"/>
      <c r="AQ13" s="417" t="n"/>
      <c r="AR13" s="417" t="n"/>
      <c r="AS13" s="417" t="n"/>
      <c r="AT13" s="417" t="n"/>
      <c r="AU13" s="417" t="n"/>
      <c r="AV13" s="417" t="n"/>
      <c r="AW13" s="417" t="n"/>
      <c r="AX13" s="417" t="n"/>
      <c r="BD13" s="3" t="n"/>
      <c r="BE13" s="20" t="n"/>
      <c r="BI13" s="21" t="n"/>
    </row>
    <row r="14" ht="15.75" customHeight="1">
      <c r="A14" s="9" t="n"/>
      <c r="B14" s="87" t="inlineStr">
        <is>
          <t>Fecha de Ingreso</t>
        </is>
      </c>
      <c r="C14" s="417" t="inlineStr">
        <is>
          <t>2026-03-29</t>
        </is>
      </c>
      <c r="D14" s="417" t="n"/>
      <c r="E14" s="417" t="n"/>
      <c r="F14" s="417" t="n"/>
      <c r="G14" s="417" t="n"/>
      <c r="H14" s="417" t="n"/>
      <c r="I14" s="417" t="n"/>
      <c r="J14" s="417" t="n"/>
      <c r="K14" s="417" t="n"/>
      <c r="L14" s="417" t="n"/>
      <c r="M14" s="417" t="n"/>
      <c r="N14" s="417" t="n"/>
      <c r="O14" s="417" t="n"/>
      <c r="P14" s="417" t="n"/>
      <c r="Q14" s="417" t="n"/>
      <c r="R14" s="417" t="n"/>
      <c r="S14" s="417" t="n"/>
      <c r="T14" s="417" t="n"/>
      <c r="U14" s="417" t="n"/>
      <c r="V14" s="417" t="n"/>
      <c r="W14" s="417" t="n"/>
      <c r="X14" s="417" t="n"/>
      <c r="Y14" s="417" t="n">
        <v>46057</v>
      </c>
      <c r="Z14" s="417" t="n"/>
      <c r="AA14" s="417" t="n"/>
      <c r="AG14" s="3" t="n"/>
      <c r="AH14" s="20" t="n"/>
      <c r="AL14" s="21" t="n"/>
      <c r="AM14" s="9" t="n"/>
      <c r="AN14" s="87" t="n"/>
      <c r="AO14" s="417" t="n"/>
      <c r="AP14" s="417" t="n"/>
      <c r="AQ14" s="417" t="n"/>
      <c r="AR14" s="417" t="n"/>
      <c r="AS14" s="417" t="n"/>
      <c r="AT14" s="417" t="n"/>
      <c r="AU14" s="417" t="n"/>
      <c r="AV14" s="417" t="n"/>
      <c r="AW14" s="417" t="n"/>
      <c r="AX14" s="417" t="n"/>
      <c r="BD14" s="3" t="n"/>
      <c r="BE14" s="20" t="n"/>
      <c r="BI14" s="21" t="n"/>
    </row>
    <row r="15" ht="18" customHeight="1">
      <c r="A15" s="9" t="n"/>
      <c r="B15" s="87" t="inlineStr">
        <is>
          <t>Fecha de Informe</t>
        </is>
      </c>
      <c r="C15" s="417" t="inlineStr">
        <is>
          <t>2026-03-30</t>
        </is>
      </c>
      <c r="D15" s="417" t="n"/>
      <c r="E15" s="417" t="n"/>
      <c r="F15" s="417" t="n"/>
      <c r="G15" s="417" t="n"/>
      <c r="H15" s="417" t="n"/>
      <c r="I15" s="417" t="n"/>
      <c r="J15" s="417" t="n"/>
      <c r="K15" s="417" t="n"/>
      <c r="L15" s="417" t="n"/>
      <c r="M15" s="417" t="n"/>
      <c r="N15" s="417" t="n"/>
      <c r="O15" s="417" t="n"/>
      <c r="P15" s="417" t="n"/>
      <c r="Q15" s="417" t="n"/>
      <c r="R15" s="417" t="n"/>
      <c r="S15" s="417" t="n"/>
      <c r="T15" s="417" t="n"/>
      <c r="U15" s="417" t="n"/>
      <c r="V15" s="417" t="n"/>
      <c r="W15" s="417" t="n"/>
      <c r="X15" s="417" t="n"/>
      <c r="Y15" s="417" t="n">
        <v>46065</v>
      </c>
      <c r="Z15" s="417" t="n"/>
      <c r="AA15" s="417" t="n"/>
      <c r="AG15" s="3" t="n"/>
      <c r="AH15" s="20" t="n"/>
      <c r="AL15" s="21" t="n"/>
      <c r="AM15" s="9" t="n"/>
      <c r="AN15" s="87" t="n"/>
      <c r="AO15" s="417" t="n"/>
      <c r="AP15" s="417" t="n"/>
      <c r="AQ15" s="417" t="n"/>
      <c r="AR15" s="417" t="n"/>
      <c r="AS15" s="417" t="n"/>
      <c r="AT15" s="417" t="n"/>
      <c r="AU15" s="417" t="n"/>
      <c r="AV15" s="417" t="n"/>
      <c r="AW15" s="417" t="n"/>
      <c r="AX15" s="417" t="n"/>
      <c r="BD15" s="3" t="n"/>
      <c r="BE15" s="20" t="n"/>
      <c r="BI15" s="21" t="n"/>
    </row>
    <row r="16" ht="18" customHeight="1">
      <c r="A16" s="9" t="n"/>
      <c r="B16" s="87" t="inlineStr">
        <is>
          <t>Equipo Hrs/ Km</t>
        </is>
      </c>
      <c r="C16" s="88" t="n">
        <v>12000</v>
      </c>
      <c r="D16" s="88" t="n"/>
      <c r="E16" s="88" t="n"/>
      <c r="F16" s="88" t="n"/>
      <c r="G16" s="88" t="n"/>
      <c r="H16" s="88" t="n"/>
      <c r="I16" s="88" t="n"/>
      <c r="J16" s="88" t="n"/>
      <c r="K16" s="88" t="n"/>
      <c r="L16" s="88" t="n"/>
      <c r="M16" s="88" t="n"/>
      <c r="N16" s="88" t="n"/>
      <c r="O16" s="88" t="n"/>
      <c r="P16" s="88" t="n"/>
      <c r="Q16" s="88" t="n"/>
      <c r="R16" s="88" t="n"/>
      <c r="S16" s="88" t="n"/>
      <c r="T16" s="88" t="n"/>
      <c r="U16" s="88" t="n"/>
      <c r="V16" s="88" t="n"/>
      <c r="W16" s="88" t="n"/>
      <c r="X16" s="88" t="n"/>
      <c r="Y16" s="88" t="n"/>
      <c r="Z16" s="88" t="n"/>
      <c r="AA16" s="88" t="n"/>
      <c r="AG16" s="3" t="n"/>
      <c r="AH16" s="20" t="n"/>
      <c r="AL16" s="21" t="n"/>
      <c r="AM16" s="9" t="n"/>
      <c r="AN16" s="87" t="n"/>
      <c r="AO16" s="88" t="n"/>
      <c r="AP16" s="88" t="n"/>
      <c r="AQ16" s="88" t="n"/>
      <c r="AR16" s="88" t="n"/>
      <c r="AS16" s="88" t="n"/>
      <c r="AT16" s="88" t="n"/>
      <c r="AU16" s="88" t="n"/>
      <c r="AV16" s="88" t="n"/>
      <c r="AW16" s="88" t="n"/>
      <c r="AX16" s="88" t="n"/>
      <c r="BD16" s="3" t="n"/>
      <c r="BE16" s="20" t="n"/>
      <c r="BI16" s="21" t="n"/>
    </row>
    <row r="17" ht="18" customHeight="1">
      <c r="A17" s="9" t="n"/>
      <c r="B17" s="87" t="inlineStr">
        <is>
          <t>Aceite Hrs/ Km</t>
        </is>
      </c>
      <c r="C17" s="88" t="n">
        <v>320</v>
      </c>
      <c r="D17" s="88" t="n"/>
      <c r="E17" s="88" t="n"/>
      <c r="F17" s="88" t="n"/>
      <c r="G17" s="88" t="n"/>
      <c r="H17" s="88" t="n"/>
      <c r="I17" s="88" t="n"/>
      <c r="J17" s="88" t="n"/>
      <c r="K17" s="88" t="n"/>
      <c r="L17" s="88" t="n"/>
      <c r="M17" s="88" t="n"/>
      <c r="N17" s="88" t="n"/>
      <c r="O17" s="88" t="n"/>
      <c r="P17" s="88" t="n"/>
      <c r="Q17" s="88" t="n"/>
      <c r="R17" s="88" t="n"/>
      <c r="S17" s="88" t="n"/>
      <c r="T17" s="88" t="n"/>
      <c r="U17" s="88" t="n"/>
      <c r="V17" s="88" t="n"/>
      <c r="W17" s="88" t="n"/>
      <c r="X17" s="88" t="n"/>
      <c r="Y17" s="88" t="n">
        <v>519</v>
      </c>
      <c r="Z17" s="88" t="n"/>
      <c r="AA17" s="88" t="n"/>
      <c r="AG17" s="3" t="n"/>
      <c r="AH17" s="20" t="n"/>
      <c r="AL17" s="21" t="n"/>
      <c r="AM17" s="9" t="n"/>
      <c r="AN17" s="87" t="n"/>
      <c r="AO17" s="88" t="n"/>
      <c r="AP17" s="88" t="n"/>
      <c r="AQ17" s="88" t="n"/>
      <c r="AR17" s="88" t="n"/>
      <c r="AS17" s="88" t="n"/>
      <c r="AT17" s="88" t="n"/>
      <c r="AU17" s="88" t="n"/>
      <c r="AV17" s="88" t="n"/>
      <c r="AW17" s="88" t="n"/>
      <c r="AX17" s="88" t="n"/>
      <c r="BD17" s="3" t="n"/>
      <c r="BE17" s="20" t="n"/>
      <c r="BI17" s="21" t="n"/>
    </row>
    <row r="18" ht="18" customHeight="1">
      <c r="A18" s="9" t="n"/>
      <c r="B18" s="87" t="inlineStr">
        <is>
          <t>Condición</t>
        </is>
      </c>
      <c r="C18" s="95" t="inlineStr">
        <is>
          <t>NORMAL</t>
        </is>
      </c>
      <c r="D18" s="95" t="n"/>
      <c r="E18" s="95" t="n"/>
      <c r="F18" s="95" t="n"/>
      <c r="G18" s="95" t="n"/>
      <c r="H18" s="95" t="n"/>
      <c r="I18" s="95" t="n"/>
      <c r="J18" s="95" t="n"/>
      <c r="K18" s="95" t="n"/>
      <c r="L18" s="95" t="n"/>
      <c r="M18" s="95" t="n"/>
      <c r="N18" s="95" t="n"/>
      <c r="O18" s="95" t="n"/>
      <c r="P18" s="95" t="n"/>
      <c r="Q18" s="95" t="n"/>
      <c r="R18" s="95" t="n"/>
      <c r="S18" s="95" t="n"/>
      <c r="T18" s="95" t="n"/>
      <c r="U18" s="95" t="n"/>
      <c r="V18" s="95" t="n"/>
      <c r="W18" s="95" t="n"/>
      <c r="X18" s="95" t="n"/>
      <c r="Y18" s="95" t="inlineStr">
        <is>
          <t>ANORMAL</t>
        </is>
      </c>
      <c r="Z18" s="95" t="n"/>
      <c r="AA18" s="95" t="n"/>
      <c r="AG18" s="3" t="n"/>
      <c r="AH18" s="20" t="n"/>
      <c r="AL18" s="21" t="n"/>
      <c r="AM18" s="9" t="n"/>
      <c r="AN18" s="87" t="n"/>
      <c r="AO18" s="95" t="n"/>
      <c r="AP18" s="95" t="n"/>
      <c r="AQ18" s="95" t="n"/>
      <c r="AR18" s="95" t="n"/>
      <c r="AS18" s="95" t="n"/>
      <c r="AT18" s="95" t="n"/>
      <c r="AU18" s="95" t="n"/>
      <c r="AV18" s="95" t="n"/>
      <c r="AW18" s="95" t="n"/>
      <c r="AX18" s="95" t="n"/>
      <c r="BD18" s="3" t="n"/>
      <c r="BE18" s="20" t="n"/>
      <c r="BI18" s="21" t="n"/>
    </row>
    <row r="19" ht="18" customHeight="1">
      <c r="A19" s="9" t="n"/>
      <c r="B19" s="90" t="n"/>
      <c r="C19" s="90" t="n"/>
      <c r="D19" s="90" t="n"/>
      <c r="E19" s="90" t="n"/>
      <c r="F19" s="90" t="n"/>
      <c r="G19" s="90" t="n"/>
      <c r="H19" s="90" t="n"/>
      <c r="I19" s="90" t="n"/>
      <c r="J19" s="90" t="n"/>
      <c r="K19" s="90" t="n"/>
      <c r="L19" s="90" t="n"/>
      <c r="M19" s="90" t="n"/>
      <c r="N19" s="90" t="n"/>
      <c r="O19" s="90" t="n"/>
      <c r="P19" s="90" t="n"/>
      <c r="Q19" s="90" t="n"/>
      <c r="R19" s="90" t="n"/>
      <c r="S19" s="90" t="n"/>
      <c r="T19" s="90" t="n"/>
      <c r="U19" s="90" t="n"/>
      <c r="V19" s="90" t="n"/>
      <c r="W19" s="90" t="n"/>
      <c r="X19" s="90" t="n"/>
      <c r="Y19" s="90" t="n"/>
      <c r="Z19" s="90" t="n"/>
      <c r="AA19" s="90" t="n"/>
      <c r="AG19" s="3" t="n"/>
      <c r="AH19" s="20" t="n"/>
      <c r="AL19" s="21" t="n"/>
      <c r="AM19" s="9" t="n"/>
      <c r="AN19" s="90" t="n"/>
      <c r="AO19" s="90" t="n"/>
      <c r="AP19" s="90" t="n"/>
      <c r="AQ19" s="90" t="n"/>
      <c r="AR19" s="90" t="n"/>
      <c r="AS19" s="90" t="n"/>
      <c r="AT19" s="90" t="n"/>
      <c r="AU19" s="90" t="n"/>
      <c r="AV19" s="90" t="n"/>
      <c r="AW19" s="90" t="n"/>
      <c r="AX19" s="90" t="n"/>
      <c r="BD19" s="3" t="n"/>
      <c r="BE19" s="20" t="n"/>
      <c r="BI19" s="21" t="n"/>
    </row>
    <row r="20" ht="18" customHeight="1">
      <c r="A20" s="9" t="n"/>
      <c r="B20" s="208" t="inlineStr">
        <is>
          <t>ESTADO DEL LUBRICANTE</t>
        </is>
      </c>
      <c r="C20" s="412" t="n"/>
      <c r="D20" s="412" t="n"/>
      <c r="E20" s="412" t="n"/>
      <c r="F20" s="412" t="n"/>
      <c r="G20" s="412" t="n"/>
      <c r="H20" s="412" t="n"/>
      <c r="I20" s="412" t="n"/>
      <c r="J20" s="412" t="n"/>
      <c r="K20" s="412" t="n"/>
      <c r="L20" s="412" t="n"/>
      <c r="M20" s="412" t="n"/>
      <c r="N20" s="412" t="n"/>
      <c r="O20" s="412" t="n"/>
      <c r="P20" s="412" t="n"/>
      <c r="Q20" s="412" t="n"/>
      <c r="R20" s="412" t="n"/>
      <c r="S20" s="412" t="n"/>
      <c r="T20" s="412" t="n"/>
      <c r="U20" s="412" t="n"/>
      <c r="V20" s="412" t="n"/>
      <c r="W20" s="412" t="n"/>
      <c r="X20" s="412" t="n"/>
      <c r="Y20" s="412" t="n"/>
      <c r="Z20" s="412" t="n"/>
      <c r="AA20" s="413" t="n"/>
      <c r="AC20" s="209" t="inlineStr">
        <is>
          <t>* Rangos Generales</t>
        </is>
      </c>
      <c r="AD20" s="399" t="n"/>
      <c r="AE20" s="399" t="n"/>
      <c r="AF20" s="400" t="n"/>
      <c r="AG20" s="3" t="n"/>
      <c r="AH20" s="20" t="n"/>
      <c r="AL20" s="21" t="n"/>
      <c r="AM20" s="9" t="n"/>
      <c r="AN20" s="208" t="n"/>
      <c r="AO20" s="412" t="n"/>
      <c r="AP20" s="412" t="n"/>
      <c r="AQ20" s="412" t="n"/>
      <c r="AR20" s="412" t="n"/>
      <c r="AS20" s="412" t="n"/>
      <c r="AT20" s="412" t="n"/>
      <c r="AU20" s="412" t="n"/>
      <c r="AV20" s="412" t="n"/>
      <c r="AW20" s="412" t="n"/>
      <c r="AX20" s="413" t="n"/>
      <c r="AZ20" s="209" t="n"/>
      <c r="BA20" s="399" t="n"/>
      <c r="BB20" s="399" t="n"/>
      <c r="BC20" s="400" t="n"/>
      <c r="BD20" s="3" t="n"/>
      <c r="BE20" s="20" t="n"/>
      <c r="BI20" s="21" t="n"/>
    </row>
    <row r="21" ht="18" customHeight="1">
      <c r="A21" s="9" t="n"/>
      <c r="B21" s="414" t="n"/>
      <c r="C21" s="415" t="n"/>
      <c r="D21" s="415" t="n"/>
      <c r="E21" s="415" t="n"/>
      <c r="F21" s="415" t="n"/>
      <c r="G21" s="415" t="n"/>
      <c r="H21" s="415" t="n"/>
      <c r="I21" s="415" t="n"/>
      <c r="J21" s="415" t="n"/>
      <c r="K21" s="415" t="n"/>
      <c r="L21" s="415" t="n"/>
      <c r="M21" s="415" t="n"/>
      <c r="N21" s="415" t="n"/>
      <c r="O21" s="415" t="n"/>
      <c r="P21" s="415" t="n"/>
      <c r="Q21" s="415" t="n"/>
      <c r="R21" s="415" t="n"/>
      <c r="S21" s="415" t="n"/>
      <c r="T21" s="415" t="n"/>
      <c r="U21" s="415" t="n"/>
      <c r="V21" s="415" t="n"/>
      <c r="W21" s="415" t="n"/>
      <c r="X21" s="415" t="n"/>
      <c r="Y21" s="415" t="n"/>
      <c r="Z21" s="415" t="n"/>
      <c r="AA21" s="416" t="n"/>
      <c r="AB21" s="5" t="n"/>
      <c r="AC21" s="209" t="inlineStr">
        <is>
          <t>Precaución</t>
        </is>
      </c>
      <c r="AD21" s="400" t="n"/>
      <c r="AE21" s="209" t="inlineStr">
        <is>
          <t>Anormal</t>
        </is>
      </c>
      <c r="AF21" s="400" t="n"/>
      <c r="AG21" s="3" t="n"/>
      <c r="AH21" s="20" t="n"/>
      <c r="AL21" s="21" t="n"/>
      <c r="AM21" s="9" t="n"/>
      <c r="AN21" s="414" t="n"/>
      <c r="AO21" s="415" t="n"/>
      <c r="AP21" s="415" t="n"/>
      <c r="AQ21" s="415" t="n"/>
      <c r="AR21" s="415" t="n"/>
      <c r="AS21" s="415" t="n"/>
      <c r="AT21" s="415" t="n"/>
      <c r="AU21" s="415" t="n"/>
      <c r="AV21" s="415" t="n"/>
      <c r="AW21" s="415" t="n"/>
      <c r="AX21" s="416" t="n"/>
      <c r="AY21" s="5" t="n"/>
      <c r="AZ21" s="209" t="n"/>
      <c r="BA21" s="400" t="n"/>
      <c r="BB21" s="209" t="n"/>
      <c r="BC21" s="400" t="n"/>
      <c r="BD21" s="3" t="n"/>
      <c r="BE21" s="20" t="n"/>
      <c r="BI21" s="21" t="n"/>
    </row>
    <row r="22" ht="15.75" customHeight="1">
      <c r="A22" s="9" t="n"/>
      <c r="B22" s="87" t="inlineStr">
        <is>
          <t>Viscosidad a 100ºC, cSt</t>
        </is>
      </c>
      <c r="C22" s="195" t="n">
        <v>0</v>
      </c>
      <c r="D22" s="92" t="n"/>
      <c r="E22" s="92" t="n"/>
      <c r="F22" s="92" t="n"/>
      <c r="G22" s="92" t="n"/>
      <c r="H22" s="92" t="n"/>
      <c r="I22" s="92" t="n"/>
      <c r="J22" s="92" t="n"/>
      <c r="K22" s="92" t="n"/>
      <c r="L22" s="92" t="n"/>
      <c r="M22" s="92" t="n"/>
      <c r="N22" s="92" t="n"/>
      <c r="O22" s="92" t="n"/>
      <c r="P22" s="92" t="n"/>
      <c r="Q22" s="92" t="n"/>
      <c r="R22" s="92" t="n"/>
      <c r="S22" s="92" t="n"/>
      <c r="T22" s="92" t="n"/>
      <c r="U22" s="92" t="n"/>
      <c r="V22" s="92" t="n"/>
      <c r="W22" s="92" t="n"/>
      <c r="X22" s="92" t="n"/>
      <c r="Y22" s="92">
        <f>(Datos!X30)</f>
        <v/>
      </c>
      <c r="Z22" s="92" t="n"/>
      <c r="AA22" s="92" t="n"/>
      <c r="AB22" s="203" t="n">
        <v>0.15</v>
      </c>
      <c r="AC22" s="200" t="inlineStr">
        <is>
          <t>&lt;</t>
        </is>
      </c>
      <c r="AD22" s="418">
        <f>AG22-(AG22*AB22)</f>
        <v/>
      </c>
      <c r="AE22" s="202" t="inlineStr">
        <is>
          <t>&gt;</t>
        </is>
      </c>
      <c r="AF22" s="418">
        <f>AG22+(AG22*AB22)</f>
        <v/>
      </c>
      <c r="AG22" s="419" t="n">
        <v>14.5</v>
      </c>
      <c r="AH22" s="20" t="n"/>
      <c r="AL22" s="21" t="n"/>
      <c r="AM22" s="9" t="n"/>
      <c r="AN22" s="87" t="n"/>
      <c r="AO22" s="420" t="n"/>
      <c r="AP22" s="92" t="n"/>
      <c r="AQ22" s="92" t="n"/>
      <c r="AR22" s="92" t="n"/>
      <c r="AS22" s="92" t="n"/>
      <c r="AT22" s="92" t="n"/>
      <c r="AU22" s="92" t="n"/>
      <c r="AV22" s="92" t="n"/>
      <c r="AW22" s="92" t="n"/>
      <c r="AX22" s="92" t="n"/>
      <c r="AY22" s="5" t="n"/>
      <c r="AZ22" s="131" t="n"/>
      <c r="BA22" s="421" t="n"/>
      <c r="BB22" s="133" t="n"/>
      <c r="BC22" s="421" t="n"/>
      <c r="BD22" s="3" t="n"/>
      <c r="BE22" s="20" t="n"/>
      <c r="BI22" s="21" t="n"/>
    </row>
    <row r="23" hidden="1" ht="15.75" customHeight="1">
      <c r="A23" s="9" t="n"/>
      <c r="B23" s="87" t="inlineStr">
        <is>
          <t>Viscosidad a 40ºC, cSt</t>
        </is>
      </c>
      <c r="C23" s="195" t="n">
        <v>0</v>
      </c>
      <c r="D23" s="92" t="n"/>
      <c r="E23" s="92" t="n"/>
      <c r="F23" s="92" t="n"/>
      <c r="G23" s="92" t="n"/>
      <c r="H23" s="92" t="n"/>
      <c r="I23" s="92" t="n"/>
      <c r="J23" s="92" t="n"/>
      <c r="K23" s="92" t="n"/>
      <c r="L23" s="92" t="n"/>
      <c r="M23" s="92" t="n"/>
      <c r="N23" s="92" t="n"/>
      <c r="O23" s="92" t="n"/>
      <c r="P23" s="92" t="n"/>
      <c r="Q23" s="92" t="n"/>
      <c r="R23" s="92" t="n"/>
      <c r="S23" s="92" t="n"/>
      <c r="T23" s="92" t="n"/>
      <c r="U23" s="92" t="n"/>
      <c r="V23" s="92" t="n"/>
      <c r="W23" s="92" t="n"/>
      <c r="X23" s="92" t="n"/>
      <c r="Y23" s="92">
        <f>(Datos!X31)</f>
        <v/>
      </c>
      <c r="Z23" s="92" t="n"/>
      <c r="AA23" s="92" t="n"/>
      <c r="AB23" s="5" t="n"/>
      <c r="AC23" s="131" t="inlineStr">
        <is>
          <t>&lt;</t>
        </is>
      </c>
      <c r="AD23" s="421" t="n">
        <v>97.2</v>
      </c>
      <c r="AE23" s="133" t="inlineStr">
        <is>
          <t>&gt;</t>
        </is>
      </c>
      <c r="AF23" s="421" t="n">
        <v>124.2</v>
      </c>
      <c r="AG23" s="3" t="n"/>
      <c r="AH23" s="20" t="n"/>
      <c r="AL23" s="21" t="n"/>
      <c r="AM23" s="9" t="n"/>
      <c r="AN23" s="87" t="n"/>
      <c r="AO23" s="420" t="n"/>
      <c r="AP23" s="92" t="n"/>
      <c r="AQ23" s="92" t="n"/>
      <c r="AR23" s="92" t="n"/>
      <c r="AS23" s="92" t="n"/>
      <c r="AT23" s="92" t="n"/>
      <c r="AU23" s="92" t="n"/>
      <c r="AV23" s="92" t="n"/>
      <c r="AW23" s="92" t="n"/>
      <c r="AX23" s="92" t="n"/>
      <c r="AY23" s="5" t="n"/>
      <c r="AZ23" s="131" t="n"/>
      <c r="BA23" s="421" t="n"/>
      <c r="BB23" s="133" t="n"/>
      <c r="BC23" s="421" t="n"/>
      <c r="BD23" s="3" t="n"/>
      <c r="BE23" s="20" t="n"/>
      <c r="BI23" s="21" t="n"/>
    </row>
    <row r="24" hidden="1" ht="15.75" customHeight="1">
      <c r="A24" s="9" t="n"/>
      <c r="B24" s="87" t="inlineStr">
        <is>
          <t>Indice de Viscosidad</t>
        </is>
      </c>
      <c r="C24" s="88" t="n">
        <v>0</v>
      </c>
      <c r="D24" s="92" t="n"/>
      <c r="E24" s="92" t="n"/>
      <c r="F24" s="92" t="n"/>
      <c r="G24" s="92" t="n"/>
      <c r="H24" s="92" t="n"/>
      <c r="I24" s="92" t="n"/>
      <c r="J24" s="92" t="n"/>
      <c r="K24" s="92" t="n"/>
      <c r="L24" s="92" t="n"/>
      <c r="M24" s="92" t="n"/>
      <c r="N24" s="92" t="n"/>
      <c r="O24" s="92" t="n"/>
      <c r="P24" s="92" t="n"/>
      <c r="Q24" s="92" t="n"/>
      <c r="R24" s="92" t="n"/>
      <c r="S24" s="92" t="n"/>
      <c r="T24" s="92" t="n"/>
      <c r="U24" s="92" t="n"/>
      <c r="V24" s="92" t="n"/>
      <c r="W24" s="92" t="n"/>
      <c r="X24" s="92" t="n"/>
      <c r="Y24" s="92">
        <f>(Datos!X32)</f>
        <v/>
      </c>
      <c r="Z24" s="92" t="n"/>
      <c r="AA24" s="92" t="n"/>
      <c r="AB24" s="5" t="n"/>
      <c r="AC24" s="120" t="n"/>
      <c r="AD24" s="422" t="inlineStr">
        <is>
          <t>--</t>
        </is>
      </c>
      <c r="AE24" s="120" t="n"/>
      <c r="AF24" s="422" t="inlineStr">
        <is>
          <t>--</t>
        </is>
      </c>
      <c r="AG24" s="3" t="n"/>
      <c r="AH24" s="20" t="n"/>
      <c r="AL24" s="21" t="n"/>
      <c r="AM24" s="9" t="n"/>
      <c r="AN24" s="87" t="n"/>
      <c r="AO24" s="93" t="n"/>
      <c r="AP24" s="92" t="n"/>
      <c r="AQ24" s="92" t="n"/>
      <c r="AR24" s="92" t="n"/>
      <c r="AS24" s="92" t="n"/>
      <c r="AT24" s="92" t="n"/>
      <c r="AU24" s="92" t="n"/>
      <c r="AV24" s="92" t="n"/>
      <c r="AW24" s="92" t="n"/>
      <c r="AX24" s="92" t="n"/>
      <c r="AY24" s="5" t="n"/>
      <c r="AZ24" s="120" t="n"/>
      <c r="BA24" s="422" t="n"/>
      <c r="BB24" s="120" t="n"/>
      <c r="BC24" s="422" t="n"/>
      <c r="BD24" s="3" t="n"/>
      <c r="BE24" s="20" t="n"/>
      <c r="BI24" s="21" t="n"/>
    </row>
    <row r="25" ht="18" customHeight="1">
      <c r="A25" s="9" t="n"/>
      <c r="B25" s="87" t="inlineStr">
        <is>
          <t>T.B.N. mgKOH/gr</t>
        </is>
      </c>
      <c r="C25" s="195" t="n">
        <v>0</v>
      </c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92" t="n"/>
      <c r="O25" s="92" t="n"/>
      <c r="P25" s="92" t="n"/>
      <c r="Q25" s="92" t="n"/>
      <c r="R25" s="92" t="n"/>
      <c r="S25" s="92" t="n"/>
      <c r="T25" s="92" t="n"/>
      <c r="U25" s="92" t="n"/>
      <c r="V25" s="92" t="n"/>
      <c r="W25" s="92" t="n"/>
      <c r="X25" s="92" t="n"/>
      <c r="Y25" s="92">
        <f>(Datos!X31)</f>
        <v/>
      </c>
      <c r="Z25" s="420" t="n"/>
      <c r="AA25" s="420" t="n"/>
      <c r="AB25" s="69" t="n"/>
      <c r="AC25" s="209" t="inlineStr">
        <is>
          <t>[50% TBN -1]</t>
        </is>
      </c>
      <c r="AD25" s="399" t="n"/>
      <c r="AE25" s="399" t="n"/>
      <c r="AF25" s="400" t="n"/>
      <c r="AG25" s="3" t="n"/>
      <c r="AH25" s="20" t="n"/>
      <c r="AL25" s="21" t="n"/>
      <c r="AM25" s="9" t="n"/>
      <c r="AN25" s="87" t="n"/>
      <c r="AO25" s="420" t="n"/>
      <c r="AP25" s="420" t="n"/>
      <c r="AQ25" s="420" t="n"/>
      <c r="AR25" s="420" t="n"/>
      <c r="AS25" s="420" t="n"/>
      <c r="AT25" s="420" t="n"/>
      <c r="AU25" s="420" t="n"/>
      <c r="AV25" s="420" t="n"/>
      <c r="AW25" s="420" t="n"/>
      <c r="AX25" s="420" t="n"/>
      <c r="AY25" s="69" t="n"/>
      <c r="AZ25" s="209" t="n"/>
      <c r="BA25" s="399" t="n"/>
      <c r="BB25" s="399" t="n"/>
      <c r="BC25" s="400" t="n"/>
      <c r="BD25" s="3" t="n"/>
      <c r="BE25" s="20" t="n"/>
      <c r="BI25" s="21" t="n"/>
    </row>
    <row r="26" ht="18" customHeight="1">
      <c r="A26" s="9" t="n"/>
      <c r="B26" s="87" t="inlineStr">
        <is>
          <t>Humedad</t>
        </is>
      </c>
      <c r="C26" s="88" t="inlineStr">
        <is>
          <t>NEGATIVO</t>
        </is>
      </c>
      <c r="D26" s="88" t="n"/>
      <c r="E26" s="88" t="n"/>
      <c r="F26" s="88" t="n"/>
      <c r="G26" s="88" t="n"/>
      <c r="H26" s="88" t="n"/>
      <c r="I26" s="88" t="n"/>
      <c r="J26" s="88" t="n"/>
      <c r="K26" s="88" t="n"/>
      <c r="L26" s="88" t="n"/>
      <c r="M26" s="88" t="n"/>
      <c r="N26" s="88" t="n"/>
      <c r="O26" s="88" t="n"/>
      <c r="P26" s="88" t="n"/>
      <c r="Q26" s="88" t="n"/>
      <c r="R26" s="88" t="n"/>
      <c r="S26" s="88" t="n"/>
      <c r="T26" s="88" t="n"/>
      <c r="U26" s="88" t="n"/>
      <c r="V26" s="88" t="n"/>
      <c r="W26" s="88" t="n"/>
      <c r="X26" s="88" t="n"/>
      <c r="Y26" s="88" t="inlineStr">
        <is>
          <t>NEGATIVO</t>
        </is>
      </c>
      <c r="Z26" s="88" t="n"/>
      <c r="AA26" s="88" t="n"/>
      <c r="AB26" s="5" t="n"/>
      <c r="AC26" s="120" t="n"/>
      <c r="AD26" s="422" t="inlineStr">
        <is>
          <t>--</t>
        </is>
      </c>
      <c r="AE26" s="207" t="inlineStr">
        <is>
          <t>POSITIVO</t>
        </is>
      </c>
      <c r="AF26" s="400" t="n"/>
      <c r="AG26" s="3" t="n"/>
      <c r="AH26" s="20" t="n"/>
      <c r="AL26" s="21" t="n"/>
      <c r="AM26" s="9" t="n"/>
      <c r="AN26" s="87" t="n"/>
      <c r="AO26" s="88" t="n"/>
      <c r="AP26" s="88" t="n"/>
      <c r="AQ26" s="88" t="n"/>
      <c r="AR26" s="88" t="n"/>
      <c r="AS26" s="88" t="n"/>
      <c r="AT26" s="88" t="n"/>
      <c r="AU26" s="88" t="n"/>
      <c r="AV26" s="88" t="n"/>
      <c r="AW26" s="88" t="n"/>
      <c r="AX26" s="88" t="n"/>
      <c r="AY26" s="5" t="n"/>
      <c r="AZ26" s="120" t="n"/>
      <c r="BA26" s="422" t="n"/>
      <c r="BB26" s="207" t="n"/>
      <c r="BC26" s="400" t="n"/>
      <c r="BD26" s="3" t="n"/>
      <c r="BE26" s="20" t="n"/>
      <c r="BI26" s="21" t="n"/>
    </row>
    <row r="27" hidden="1" ht="15.75" customHeight="1">
      <c r="A27" s="9" t="n"/>
      <c r="B27" s="87" t="inlineStr">
        <is>
          <t>Glycol,  Abs/cm</t>
        </is>
      </c>
      <c r="C27" s="88" t="n">
        <v>0</v>
      </c>
      <c r="D27" s="88" t="n"/>
      <c r="E27" s="88" t="n"/>
      <c r="F27" s="88" t="n"/>
      <c r="G27" s="88" t="n"/>
      <c r="H27" s="88" t="n"/>
      <c r="I27" s="88" t="n"/>
      <c r="J27" s="88" t="n"/>
      <c r="K27" s="88" t="n"/>
      <c r="L27" s="88" t="n"/>
      <c r="M27" s="88" t="n"/>
      <c r="N27" s="88" t="n"/>
      <c r="O27" s="88" t="n"/>
      <c r="P27" s="88" t="n"/>
      <c r="Q27" s="88" t="n"/>
      <c r="R27" s="88" t="n"/>
      <c r="S27" s="88" t="n"/>
      <c r="T27" s="88" t="n"/>
      <c r="U27" s="88" t="n"/>
      <c r="V27" s="88" t="n"/>
      <c r="W27" s="88" t="n"/>
      <c r="X27" s="88" t="n"/>
      <c r="Y27" s="88" t="n"/>
      <c r="Z27" s="88" t="n"/>
      <c r="AA27" s="88" t="n"/>
      <c r="AB27" s="5" t="n"/>
      <c r="AC27" s="135" t="n"/>
      <c r="AD27" s="136" t="inlineStr">
        <is>
          <t>--</t>
        </is>
      </c>
      <c r="AE27" s="135" t="inlineStr">
        <is>
          <t xml:space="preserve">≥ </t>
        </is>
      </c>
      <c r="AF27" s="137" t="n">
        <v>2</v>
      </c>
      <c r="AG27" s="3" t="n"/>
      <c r="AH27" s="20" t="n"/>
      <c r="AL27" s="21" t="n"/>
      <c r="AM27" s="9" t="n"/>
      <c r="AN27" s="87" t="n"/>
      <c r="AO27" s="88" t="n"/>
      <c r="AP27" s="88" t="n"/>
      <c r="AQ27" s="88" t="n"/>
      <c r="AR27" s="88" t="n"/>
      <c r="AS27" s="88" t="n"/>
      <c r="AT27" s="88" t="n"/>
      <c r="AU27" s="88" t="n"/>
      <c r="AV27" s="88" t="n"/>
      <c r="AW27" s="88" t="n"/>
      <c r="AX27" s="88" t="n"/>
      <c r="AY27" s="5" t="n"/>
      <c r="AZ27" s="135" t="n"/>
      <c r="BA27" s="136" t="n"/>
      <c r="BB27" s="135" t="n"/>
      <c r="BC27" s="137" t="n"/>
      <c r="BD27" s="3" t="n"/>
      <c r="BE27" s="20" t="n"/>
      <c r="BI27" s="21" t="n"/>
    </row>
    <row r="28" hidden="1" ht="15.75" customFormat="1" customHeight="1" s="19">
      <c r="A28" s="79" t="n"/>
      <c r="B28" s="87" t="inlineStr">
        <is>
          <t>Combustible</t>
        </is>
      </c>
      <c r="C28" s="88" t="inlineStr">
        <is>
          <t>NEGATIVO</t>
        </is>
      </c>
      <c r="D28" s="88" t="n"/>
      <c r="E28" s="88" t="n"/>
      <c r="F28" s="88" t="n"/>
      <c r="G28" s="88" t="n"/>
      <c r="H28" s="88" t="n"/>
      <c r="I28" s="88" t="n"/>
      <c r="J28" s="88" t="n"/>
      <c r="K28" s="88" t="n"/>
      <c r="L28" s="88" t="n"/>
      <c r="M28" s="88" t="n"/>
      <c r="N28" s="88" t="n"/>
      <c r="O28" s="88" t="n"/>
      <c r="P28" s="88" t="n"/>
      <c r="Q28" s="88" t="n"/>
      <c r="R28" s="88" t="n"/>
      <c r="S28" s="88" t="n"/>
      <c r="T28" s="88" t="n"/>
      <c r="U28" s="88" t="n"/>
      <c r="V28" s="88" t="n"/>
      <c r="W28" s="88" t="n"/>
      <c r="X28" s="88" t="n"/>
      <c r="Y28" s="88" t="n"/>
      <c r="Z28" s="88" t="n"/>
      <c r="AA28" s="88" t="n"/>
      <c r="AB28" s="69" t="n"/>
      <c r="AC28" s="120" t="n"/>
      <c r="AD28" s="422" t="inlineStr">
        <is>
          <t>--</t>
        </is>
      </c>
      <c r="AE28" s="207" t="inlineStr">
        <is>
          <t>POSITIVO</t>
        </is>
      </c>
      <c r="AF28" s="400" t="n"/>
      <c r="AG28" s="75" t="n"/>
      <c r="AH28" s="20" t="n"/>
      <c r="AL28" s="21" t="n"/>
      <c r="AM28" s="79" t="n"/>
      <c r="AN28" s="87" t="n"/>
      <c r="AO28" s="88" t="n"/>
      <c r="AP28" s="88" t="n"/>
      <c r="AQ28" s="88" t="n"/>
      <c r="AR28" s="88" t="n"/>
      <c r="AS28" s="88" t="n"/>
      <c r="AT28" s="88" t="n"/>
      <c r="AU28" s="88" t="n"/>
      <c r="AV28" s="88" t="n"/>
      <c r="AW28" s="88" t="n"/>
      <c r="AX28" s="88" t="n"/>
      <c r="AY28" s="69" t="n"/>
      <c r="AZ28" s="120" t="n"/>
      <c r="BA28" s="422" t="n"/>
      <c r="BB28" s="207" t="n"/>
      <c r="BC28" s="400" t="n"/>
      <c r="BD28" s="75" t="n"/>
      <c r="BE28" s="20" t="n"/>
      <c r="BI28" s="21" t="n"/>
    </row>
    <row r="29" ht="18" customHeight="1">
      <c r="A29" s="9" t="n"/>
      <c r="B29" s="90" t="n"/>
      <c r="C29" s="90" t="n"/>
      <c r="D29" s="90" t="n"/>
      <c r="E29" s="90" t="n"/>
      <c r="F29" s="90" t="n"/>
      <c r="G29" s="90" t="n"/>
      <c r="H29" s="90" t="n"/>
      <c r="I29" s="90" t="n"/>
      <c r="J29" s="90" t="n"/>
      <c r="K29" s="90" t="n"/>
      <c r="L29" s="90" t="n"/>
      <c r="M29" s="90" t="n"/>
      <c r="N29" s="90" t="n"/>
      <c r="O29" s="90" t="n"/>
      <c r="P29" s="90" t="n"/>
      <c r="Q29" s="90" t="n"/>
      <c r="R29" s="90" t="n"/>
      <c r="S29" s="90" t="n"/>
      <c r="T29" s="90" t="n"/>
      <c r="U29" s="90" t="n"/>
      <c r="V29" s="90" t="n"/>
      <c r="W29" s="90" t="n"/>
      <c r="X29" s="90" t="n"/>
      <c r="Y29" s="90" t="n"/>
      <c r="Z29" s="90" t="n"/>
      <c r="AA29" s="90" t="n"/>
      <c r="AC29" s="124" t="n"/>
      <c r="AD29" s="138" t="n"/>
      <c r="AE29" s="138" t="n"/>
      <c r="AF29" s="138" t="n"/>
      <c r="AG29" s="3" t="n"/>
      <c r="AH29" s="20" t="n"/>
      <c r="AL29" s="21" t="n"/>
      <c r="AM29" s="9" t="n"/>
      <c r="AN29" s="90" t="n"/>
      <c r="AO29" s="90" t="n"/>
      <c r="AP29" s="90" t="n"/>
      <c r="AQ29" s="90" t="n"/>
      <c r="AR29" s="90" t="n"/>
      <c r="AS29" s="90" t="n"/>
      <c r="AT29" s="90" t="n"/>
      <c r="AU29" s="90" t="n"/>
      <c r="AV29" s="90" t="n"/>
      <c r="AW29" s="90" t="n"/>
      <c r="AX29" s="90" t="n"/>
      <c r="AZ29" s="124" t="n"/>
      <c r="BA29" s="138" t="n"/>
      <c r="BB29" s="138" t="n"/>
      <c r="BC29" s="138" t="n"/>
      <c r="BD29" s="3" t="n"/>
      <c r="BE29" s="20" t="n"/>
      <c r="BI29" s="21" t="n"/>
    </row>
    <row r="30" ht="15" customHeight="1">
      <c r="A30" s="9" t="n"/>
      <c r="B30" s="208" t="inlineStr">
        <is>
          <t>DEGRADACIÓN QUÍMICA</t>
        </is>
      </c>
      <c r="C30" s="412" t="n"/>
      <c r="D30" s="412" t="n"/>
      <c r="E30" s="412" t="n"/>
      <c r="F30" s="412" t="n"/>
      <c r="G30" s="412" t="n"/>
      <c r="H30" s="412" t="n"/>
      <c r="I30" s="412" t="n"/>
      <c r="J30" s="412" t="n"/>
      <c r="K30" s="412" t="n"/>
      <c r="L30" s="412" t="n"/>
      <c r="M30" s="412" t="n"/>
      <c r="N30" s="412" t="n"/>
      <c r="O30" s="412" t="n"/>
      <c r="P30" s="412" t="n"/>
      <c r="Q30" s="412" t="n"/>
      <c r="R30" s="412" t="n"/>
      <c r="S30" s="412" t="n"/>
      <c r="T30" s="412" t="n"/>
      <c r="U30" s="412" t="n"/>
      <c r="V30" s="412" t="n"/>
      <c r="W30" s="412" t="n"/>
      <c r="X30" s="412" t="n"/>
      <c r="Y30" s="412" t="n"/>
      <c r="Z30" s="412" t="n"/>
      <c r="AA30" s="413" t="n"/>
      <c r="AC30" s="209" t="inlineStr">
        <is>
          <t>* Rangos Generales</t>
        </is>
      </c>
      <c r="AD30" s="399" t="n"/>
      <c r="AE30" s="399" t="n"/>
      <c r="AF30" s="400" t="n"/>
      <c r="AG30" s="3" t="n"/>
      <c r="AH30" s="20" t="n"/>
      <c r="AL30" s="21" t="n"/>
      <c r="AM30" s="9" t="n"/>
      <c r="AN30" s="208" t="n"/>
      <c r="AO30" s="412" t="n"/>
      <c r="AP30" s="412" t="n"/>
      <c r="AQ30" s="412" t="n"/>
      <c r="AR30" s="412" t="n"/>
      <c r="AS30" s="412" t="n"/>
      <c r="AT30" s="412" t="n"/>
      <c r="AU30" s="412" t="n"/>
      <c r="AV30" s="412" t="n"/>
      <c r="AW30" s="412" t="n"/>
      <c r="AX30" s="413" t="n"/>
      <c r="AZ30" s="209" t="n"/>
      <c r="BA30" s="399" t="n"/>
      <c r="BB30" s="399" t="n"/>
      <c r="BC30" s="400" t="n"/>
      <c r="BD30" s="3" t="n"/>
      <c r="BE30" s="20" t="n"/>
      <c r="BI30" s="21" t="n"/>
    </row>
    <row r="31" ht="15" customHeight="1">
      <c r="A31" s="9" t="n"/>
      <c r="B31" s="414" t="n"/>
      <c r="C31" s="415" t="n"/>
      <c r="D31" s="415" t="n"/>
      <c r="E31" s="415" t="n"/>
      <c r="F31" s="415" t="n"/>
      <c r="G31" s="415" t="n"/>
      <c r="H31" s="415" t="n"/>
      <c r="I31" s="415" t="n"/>
      <c r="J31" s="415" t="n"/>
      <c r="K31" s="415" t="n"/>
      <c r="L31" s="415" t="n"/>
      <c r="M31" s="415" t="n"/>
      <c r="N31" s="415" t="n"/>
      <c r="O31" s="415" t="n"/>
      <c r="P31" s="415" t="n"/>
      <c r="Q31" s="415" t="n"/>
      <c r="R31" s="415" t="n"/>
      <c r="S31" s="415" t="n"/>
      <c r="T31" s="415" t="n"/>
      <c r="U31" s="415" t="n"/>
      <c r="V31" s="415" t="n"/>
      <c r="W31" s="415" t="n"/>
      <c r="X31" s="415" t="n"/>
      <c r="Y31" s="415" t="n"/>
      <c r="Z31" s="415" t="n"/>
      <c r="AA31" s="416" t="n"/>
      <c r="AB31" s="5" t="n"/>
      <c r="AC31" s="209" t="inlineStr">
        <is>
          <t>Precaución</t>
        </is>
      </c>
      <c r="AD31" s="400" t="n"/>
      <c r="AE31" s="209" t="inlineStr">
        <is>
          <t>Anormal</t>
        </is>
      </c>
      <c r="AF31" s="400" t="n"/>
      <c r="AG31" s="3" t="n"/>
      <c r="AH31" s="20" t="n"/>
      <c r="AL31" s="21" t="n"/>
      <c r="AM31" s="9" t="n"/>
      <c r="AN31" s="414" t="n"/>
      <c r="AO31" s="415" t="n"/>
      <c r="AP31" s="415" t="n"/>
      <c r="AQ31" s="415" t="n"/>
      <c r="AR31" s="415" t="n"/>
      <c r="AS31" s="415" t="n"/>
      <c r="AT31" s="415" t="n"/>
      <c r="AU31" s="415" t="n"/>
      <c r="AV31" s="415" t="n"/>
      <c r="AW31" s="415" t="n"/>
      <c r="AX31" s="416" t="n"/>
      <c r="AY31" s="5" t="n"/>
      <c r="AZ31" s="209" t="n"/>
      <c r="BA31" s="400" t="n"/>
      <c r="BB31" s="209" t="n"/>
      <c r="BC31" s="400" t="n"/>
      <c r="BD31" s="3" t="n"/>
      <c r="BE31" s="20" t="n"/>
      <c r="BI31" s="21" t="n"/>
    </row>
    <row r="32" ht="15.75" customHeight="1">
      <c r="A32" s="9" t="n"/>
      <c r="B32" s="87" t="inlineStr">
        <is>
          <t>Oxidación, Abs/cm</t>
        </is>
      </c>
      <c r="C32" s="88" t="n">
        <v>0</v>
      </c>
      <c r="D32" s="423" t="n"/>
      <c r="E32" s="423" t="n"/>
      <c r="F32" s="423" t="n"/>
      <c r="G32" s="423" t="n"/>
      <c r="H32" s="423" t="n"/>
      <c r="I32" s="423" t="n"/>
      <c r="J32" s="423" t="n"/>
      <c r="K32" s="423" t="n"/>
      <c r="L32" s="423" t="n"/>
      <c r="M32" s="423" t="n"/>
      <c r="N32" s="423" t="n"/>
      <c r="O32" s="423" t="n"/>
      <c r="P32" s="423" t="n"/>
      <c r="Q32" s="423" t="n"/>
      <c r="R32" s="423" t="n"/>
      <c r="S32" s="423" t="n"/>
      <c r="T32" s="423" t="n"/>
      <c r="U32" s="423" t="n"/>
      <c r="V32" s="423" t="n"/>
      <c r="W32" s="423" t="n"/>
      <c r="X32" s="423" t="n"/>
      <c r="Y32" s="423">
        <f>(Datos!X35)</f>
        <v/>
      </c>
      <c r="Z32" s="423" t="n"/>
      <c r="AA32" s="423" t="n"/>
      <c r="AB32" s="5" t="n"/>
      <c r="AC32" s="120" t="inlineStr">
        <is>
          <t xml:space="preserve">≥ </t>
        </is>
      </c>
      <c r="AD32" s="121" t="n">
        <v>18</v>
      </c>
      <c r="AE32" s="120" t="inlineStr">
        <is>
          <t xml:space="preserve">≥ </t>
        </is>
      </c>
      <c r="AF32" s="121" t="n">
        <v>20</v>
      </c>
      <c r="AG32" s="3" t="n"/>
      <c r="AH32" s="20" t="n"/>
      <c r="AL32" s="21" t="n"/>
      <c r="AM32" s="9" t="n"/>
      <c r="AN32" s="87" t="n"/>
      <c r="AO32" s="423" t="n"/>
      <c r="AP32" s="423" t="n"/>
      <c r="AQ32" s="423" t="n"/>
      <c r="AR32" s="423" t="n"/>
      <c r="AS32" s="423" t="n"/>
      <c r="AT32" s="423" t="n"/>
      <c r="AU32" s="423" t="n"/>
      <c r="AV32" s="423" t="n"/>
      <c r="AW32" s="423" t="n"/>
      <c r="AX32" s="423" t="n"/>
      <c r="AY32" s="5" t="n"/>
      <c r="AZ32" s="120" t="n"/>
      <c r="BA32" s="121" t="n"/>
      <c r="BB32" s="120" t="n"/>
      <c r="BC32" s="121" t="n"/>
      <c r="BD32" s="3" t="n"/>
      <c r="BE32" s="20" t="n"/>
      <c r="BI32" s="21" t="n"/>
    </row>
    <row r="33" ht="15.75" customHeight="1">
      <c r="A33" s="9" t="n"/>
      <c r="B33" s="87" t="inlineStr">
        <is>
          <t>Nitración, Abs/cm</t>
        </is>
      </c>
      <c r="C33" s="88" t="n">
        <v>0</v>
      </c>
      <c r="D33" s="423" t="n"/>
      <c r="E33" s="423" t="n"/>
      <c r="F33" s="423" t="n"/>
      <c r="G33" s="423" t="n"/>
      <c r="H33" s="423" t="n"/>
      <c r="I33" s="423" t="n"/>
      <c r="J33" s="423" t="n"/>
      <c r="K33" s="423" t="n"/>
      <c r="L33" s="423" t="n"/>
      <c r="M33" s="423" t="n"/>
      <c r="N33" s="423" t="n"/>
      <c r="O33" s="423" t="n"/>
      <c r="P33" s="423" t="n"/>
      <c r="Q33" s="423" t="n"/>
      <c r="R33" s="423" t="n"/>
      <c r="S33" s="423" t="n"/>
      <c r="T33" s="423" t="n"/>
      <c r="U33" s="423" t="n"/>
      <c r="V33" s="423" t="n"/>
      <c r="W33" s="423" t="n"/>
      <c r="X33" s="423" t="n"/>
      <c r="Y33" s="423">
        <f>(Datos!X34)</f>
        <v/>
      </c>
      <c r="Z33" s="423" t="n"/>
      <c r="AA33" s="423" t="n"/>
      <c r="AB33" s="5" t="n"/>
      <c r="AC33" s="120" t="inlineStr">
        <is>
          <t xml:space="preserve">≥ </t>
        </is>
      </c>
      <c r="AD33" s="121" t="n">
        <v>15</v>
      </c>
      <c r="AE33" s="120" t="inlineStr">
        <is>
          <t xml:space="preserve">≥ </t>
        </is>
      </c>
      <c r="AF33" s="121" t="n">
        <v>20</v>
      </c>
      <c r="AG33" s="3" t="n"/>
      <c r="AH33" s="20" t="n"/>
      <c r="AL33" s="21" t="n"/>
      <c r="AM33" s="9" t="n"/>
      <c r="AN33" s="87" t="n"/>
      <c r="AO33" s="423" t="n"/>
      <c r="AP33" s="423" t="n"/>
      <c r="AQ33" s="423" t="n"/>
      <c r="AR33" s="423" t="n"/>
      <c r="AS33" s="423" t="n"/>
      <c r="AT33" s="423" t="n"/>
      <c r="AU33" s="423" t="n"/>
      <c r="AV33" s="423" t="n"/>
      <c r="AW33" s="423" t="n"/>
      <c r="AX33" s="423" t="n"/>
      <c r="AY33" s="5" t="n"/>
      <c r="AZ33" s="120" t="n"/>
      <c r="BA33" s="121" t="n"/>
      <c r="BB33" s="120" t="n"/>
      <c r="BC33" s="121" t="n"/>
      <c r="BD33" s="3" t="n"/>
      <c r="BE33" s="20" t="n"/>
      <c r="BI33" s="21" t="n"/>
    </row>
    <row r="34" ht="15.75" customHeight="1">
      <c r="A34" s="9" t="n"/>
      <c r="B34" s="87" t="inlineStr">
        <is>
          <t>Sulfatación, Abs/cm</t>
        </is>
      </c>
      <c r="C34" s="88" t="n">
        <v>0</v>
      </c>
      <c r="D34" s="423" t="n"/>
      <c r="E34" s="423" t="n"/>
      <c r="F34" s="423" t="n"/>
      <c r="G34" s="423" t="n"/>
      <c r="H34" s="423" t="n"/>
      <c r="I34" s="423" t="n"/>
      <c r="J34" s="423" t="n"/>
      <c r="K34" s="423" t="n"/>
      <c r="L34" s="423" t="n"/>
      <c r="M34" s="423" t="n"/>
      <c r="N34" s="423" t="n"/>
      <c r="O34" s="423" t="n"/>
      <c r="P34" s="423" t="n"/>
      <c r="Q34" s="423" t="n"/>
      <c r="R34" s="423" t="n"/>
      <c r="S34" s="423" t="n"/>
      <c r="T34" s="423" t="n"/>
      <c r="U34" s="423" t="n"/>
      <c r="V34" s="423" t="n"/>
      <c r="W34" s="423" t="n"/>
      <c r="X34" s="423" t="n"/>
      <c r="Y34" s="423">
        <f>(Datos!X33)</f>
        <v/>
      </c>
      <c r="Z34" s="423" t="n"/>
      <c r="AA34" s="423" t="n"/>
      <c r="AB34" s="5" t="n"/>
      <c r="AC34" s="120" t="inlineStr">
        <is>
          <t xml:space="preserve">≥ </t>
        </is>
      </c>
      <c r="AD34" s="121" t="n">
        <v>25</v>
      </c>
      <c r="AE34" s="120" t="inlineStr">
        <is>
          <t xml:space="preserve">≥ </t>
        </is>
      </c>
      <c r="AF34" s="121" t="n">
        <v>32</v>
      </c>
      <c r="AG34" s="3" t="n"/>
      <c r="AH34" s="20" t="n"/>
      <c r="AL34" s="21" t="n"/>
      <c r="AM34" s="9" t="n"/>
      <c r="AN34" s="87" t="n"/>
      <c r="AO34" s="423" t="n"/>
      <c r="AP34" s="423" t="n"/>
      <c r="AQ34" s="423" t="n"/>
      <c r="AR34" s="423" t="n"/>
      <c r="AS34" s="423" t="n"/>
      <c r="AT34" s="423" t="n"/>
      <c r="AU34" s="423" t="n"/>
      <c r="AV34" s="423" t="n"/>
      <c r="AW34" s="423" t="n"/>
      <c r="AX34" s="423" t="n"/>
      <c r="AY34" s="5" t="n"/>
      <c r="AZ34" s="120" t="n"/>
      <c r="BA34" s="121" t="n"/>
      <c r="BB34" s="120" t="n"/>
      <c r="BC34" s="121" t="n"/>
      <c r="BD34" s="3" t="n"/>
      <c r="BE34" s="20" t="n"/>
      <c r="BI34" s="21" t="n"/>
    </row>
    <row r="35" ht="15.75" customHeight="1">
      <c r="A35" s="9" t="n"/>
      <c r="B35" s="87" t="inlineStr">
        <is>
          <t>Hollín, wt%</t>
        </is>
      </c>
      <c r="C35" s="88" t="n">
        <v>0</v>
      </c>
      <c r="D35" s="423" t="n"/>
      <c r="E35" s="423" t="n"/>
      <c r="F35" s="423" t="n"/>
      <c r="G35" s="423" t="n"/>
      <c r="H35" s="423" t="n"/>
      <c r="I35" s="423" t="n"/>
      <c r="J35" s="423" t="n"/>
      <c r="K35" s="423" t="n"/>
      <c r="L35" s="423" t="n"/>
      <c r="M35" s="423" t="n"/>
      <c r="N35" s="423" t="n"/>
      <c r="O35" s="423" t="n"/>
      <c r="P35" s="423" t="n"/>
      <c r="Q35" s="423" t="n"/>
      <c r="R35" s="423" t="n"/>
      <c r="S35" s="423" t="n"/>
      <c r="T35" s="423" t="n"/>
      <c r="U35" s="423" t="n"/>
      <c r="V35" s="423" t="n"/>
      <c r="W35" s="423" t="n"/>
      <c r="X35" s="423" t="n"/>
      <c r="Y35" s="423">
        <f>(Datos!X32)</f>
        <v/>
      </c>
      <c r="Z35" s="423" t="n"/>
      <c r="AA35" s="423" t="n"/>
      <c r="AB35" s="5" t="n"/>
      <c r="AC35" s="120" t="inlineStr">
        <is>
          <t xml:space="preserve">≥ </t>
        </is>
      </c>
      <c r="AD35" s="122" t="n">
        <v>2</v>
      </c>
      <c r="AE35" s="120" t="inlineStr">
        <is>
          <t xml:space="preserve">≥ </t>
        </is>
      </c>
      <c r="AF35" s="121" t="n">
        <v>3</v>
      </c>
      <c r="AG35" s="3" t="n"/>
      <c r="AH35" s="20" t="n"/>
      <c r="AL35" s="21" t="n"/>
      <c r="AM35" s="9" t="n"/>
      <c r="AN35" s="87" t="n"/>
      <c r="AO35" s="423" t="n"/>
      <c r="AP35" s="423" t="n"/>
      <c r="AQ35" s="423" t="n"/>
      <c r="AR35" s="423" t="n"/>
      <c r="AS35" s="423" t="n"/>
      <c r="AT35" s="423" t="n"/>
      <c r="AU35" s="423" t="n"/>
      <c r="AV35" s="423" t="n"/>
      <c r="AW35" s="423" t="n"/>
      <c r="AX35" s="423" t="n"/>
      <c r="AY35" s="5" t="n"/>
      <c r="AZ35" s="120" t="n"/>
      <c r="BA35" s="122" t="n"/>
      <c r="BB35" s="120" t="n"/>
      <c r="BC35" s="121" t="n"/>
      <c r="BD35" s="3" t="n"/>
      <c r="BE35" s="20" t="n"/>
      <c r="BI35" s="21" t="n"/>
    </row>
    <row r="36" ht="15.75" customHeight="1">
      <c r="A36" s="9" t="n"/>
      <c r="B36" s="90" t="n"/>
      <c r="C36" s="90" t="n"/>
      <c r="D36" s="90" t="n"/>
      <c r="E36" s="90" t="n"/>
      <c r="F36" s="90" t="n"/>
      <c r="G36" s="90" t="n"/>
      <c r="H36" s="90" t="n"/>
      <c r="I36" s="90" t="n"/>
      <c r="J36" s="90" t="n"/>
      <c r="K36" s="90" t="n"/>
      <c r="L36" s="90" t="n"/>
      <c r="M36" s="90" t="n"/>
      <c r="N36" s="90" t="n"/>
      <c r="O36" s="90" t="n"/>
      <c r="P36" s="90" t="n"/>
      <c r="Q36" s="90" t="n"/>
      <c r="R36" s="90" t="n"/>
      <c r="S36" s="90" t="n"/>
      <c r="T36" s="90" t="n"/>
      <c r="U36" s="90" t="n"/>
      <c r="V36" s="90" t="n"/>
      <c r="W36" s="90" t="n"/>
      <c r="X36" s="90" t="n"/>
      <c r="Y36" s="90" t="n"/>
      <c r="Z36" s="90" t="n"/>
      <c r="AA36" s="90" t="n"/>
      <c r="AC36" s="124" t="n"/>
      <c r="AD36" s="138" t="n"/>
      <c r="AE36" s="138" t="n"/>
      <c r="AF36" s="138" t="n"/>
      <c r="AG36" s="3" t="n"/>
      <c r="AH36" s="20" t="n"/>
      <c r="AL36" s="21" t="n"/>
      <c r="AM36" s="9" t="n"/>
      <c r="AN36" s="90" t="n"/>
      <c r="AO36" s="90" t="n"/>
      <c r="AP36" s="90" t="n"/>
      <c r="AQ36" s="90" t="n"/>
      <c r="AR36" s="90" t="n"/>
      <c r="AS36" s="90" t="n"/>
      <c r="AT36" s="90" t="n"/>
      <c r="AU36" s="90" t="n"/>
      <c r="AV36" s="90" t="n"/>
      <c r="AW36" s="90" t="n"/>
      <c r="AX36" s="90" t="n"/>
      <c r="AZ36" s="124" t="n"/>
      <c r="BA36" s="138" t="n"/>
      <c r="BB36" s="138" t="n"/>
      <c r="BC36" s="138" t="n"/>
      <c r="BD36" s="3" t="n"/>
      <c r="BE36" s="20" t="n"/>
      <c r="BI36" s="21" t="n"/>
    </row>
    <row r="37" ht="18" customHeight="1">
      <c r="A37" s="9" t="n"/>
      <c r="B37" s="208" t="inlineStr">
        <is>
          <t>CONTAMINACIÓN DEL LUBRICANTE - PPM (mg/kg)</t>
        </is>
      </c>
      <c r="C37" s="412" t="n"/>
      <c r="D37" s="412" t="n"/>
      <c r="E37" s="412" t="n"/>
      <c r="F37" s="412" t="n"/>
      <c r="G37" s="412" t="n"/>
      <c r="H37" s="412" t="n"/>
      <c r="I37" s="412" t="n"/>
      <c r="J37" s="412" t="n"/>
      <c r="K37" s="412" t="n"/>
      <c r="L37" s="412" t="n"/>
      <c r="M37" s="412" t="n"/>
      <c r="N37" s="412" t="n"/>
      <c r="O37" s="412" t="n"/>
      <c r="P37" s="412" t="n"/>
      <c r="Q37" s="412" t="n"/>
      <c r="R37" s="412" t="n"/>
      <c r="S37" s="412" t="n"/>
      <c r="T37" s="412" t="n"/>
      <c r="U37" s="412" t="n"/>
      <c r="V37" s="412" t="n"/>
      <c r="W37" s="412" t="n"/>
      <c r="X37" s="412" t="n"/>
      <c r="Y37" s="412" t="n"/>
      <c r="Z37" s="412" t="n"/>
      <c r="AA37" s="413" t="n"/>
      <c r="AC37" s="209" t="inlineStr">
        <is>
          <t>* Rangos Generales</t>
        </is>
      </c>
      <c r="AD37" s="399" t="n"/>
      <c r="AE37" s="399" t="n"/>
      <c r="AF37" s="400" t="n"/>
      <c r="AG37" s="3" t="n"/>
      <c r="AH37" s="20" t="n"/>
      <c r="AL37" s="21" t="n"/>
      <c r="AM37" s="9" t="n"/>
      <c r="AN37" s="208" t="n"/>
      <c r="AO37" s="412" t="n"/>
      <c r="AP37" s="412" t="n"/>
      <c r="AQ37" s="412" t="n"/>
      <c r="AR37" s="412" t="n"/>
      <c r="AS37" s="412" t="n"/>
      <c r="AT37" s="412" t="n"/>
      <c r="AU37" s="412" t="n"/>
      <c r="AV37" s="412" t="n"/>
      <c r="AW37" s="412" t="n"/>
      <c r="AX37" s="413" t="n"/>
      <c r="AZ37" s="209" t="n"/>
      <c r="BA37" s="399" t="n"/>
      <c r="BB37" s="399" t="n"/>
      <c r="BC37" s="400" t="n"/>
      <c r="BD37" s="3" t="n"/>
      <c r="BE37" s="20" t="n"/>
      <c r="BI37" s="21" t="n"/>
    </row>
    <row r="38" ht="18" customHeight="1">
      <c r="A38" s="9" t="n"/>
      <c r="B38" s="414" t="n"/>
      <c r="C38" s="415" t="n"/>
      <c r="D38" s="415" t="n"/>
      <c r="E38" s="415" t="n"/>
      <c r="F38" s="415" t="n"/>
      <c r="G38" s="415" t="n"/>
      <c r="H38" s="415" t="n"/>
      <c r="I38" s="415" t="n"/>
      <c r="J38" s="415" t="n"/>
      <c r="K38" s="415" t="n"/>
      <c r="L38" s="415" t="n"/>
      <c r="M38" s="415" t="n"/>
      <c r="N38" s="415" t="n"/>
      <c r="O38" s="415" t="n"/>
      <c r="P38" s="415" t="n"/>
      <c r="Q38" s="415" t="n"/>
      <c r="R38" s="415" t="n"/>
      <c r="S38" s="415" t="n"/>
      <c r="T38" s="415" t="n"/>
      <c r="U38" s="415" t="n"/>
      <c r="V38" s="415" t="n"/>
      <c r="W38" s="415" t="n"/>
      <c r="X38" s="415" t="n"/>
      <c r="Y38" s="415" t="n"/>
      <c r="Z38" s="415" t="n"/>
      <c r="AA38" s="416" t="n"/>
      <c r="AB38" s="5" t="n"/>
      <c r="AC38" s="209" t="inlineStr">
        <is>
          <t>Precaución</t>
        </is>
      </c>
      <c r="AD38" s="400" t="n"/>
      <c r="AE38" s="209" t="inlineStr">
        <is>
          <t>Anormal</t>
        </is>
      </c>
      <c r="AF38" s="400" t="n"/>
      <c r="AG38" s="77" t="n"/>
      <c r="AH38" s="20" t="n"/>
      <c r="AL38" s="21" t="n"/>
      <c r="AM38" s="9" t="n"/>
      <c r="AN38" s="414" t="n"/>
      <c r="AO38" s="415" t="n"/>
      <c r="AP38" s="415" t="n"/>
      <c r="AQ38" s="415" t="n"/>
      <c r="AR38" s="415" t="n"/>
      <c r="AS38" s="415" t="n"/>
      <c r="AT38" s="415" t="n"/>
      <c r="AU38" s="415" t="n"/>
      <c r="AV38" s="415" t="n"/>
      <c r="AW38" s="415" t="n"/>
      <c r="AX38" s="416" t="n"/>
      <c r="AY38" s="5" t="n"/>
      <c r="AZ38" s="209" t="n"/>
      <c r="BA38" s="400" t="n"/>
      <c r="BB38" s="209" t="n"/>
      <c r="BC38" s="400" t="n"/>
      <c r="BD38" s="77" t="n"/>
      <c r="BE38" s="20" t="n"/>
      <c r="BI38" s="21" t="n"/>
    </row>
    <row r="39" ht="18" customHeight="1">
      <c r="A39" s="9" t="n"/>
      <c r="B39" s="87" t="inlineStr">
        <is>
          <t>Si (Silicio)</t>
        </is>
      </c>
      <c r="C39" s="88" t="n">
        <v>0</v>
      </c>
      <c r="D39" s="88" t="n"/>
      <c r="E39" s="88" t="n"/>
      <c r="F39" s="88" t="n"/>
      <c r="G39" s="88" t="n"/>
      <c r="H39" s="88" t="n"/>
      <c r="I39" s="88" t="n"/>
      <c r="J39" s="88" t="n"/>
      <c r="K39" s="88" t="n"/>
      <c r="L39" s="88" t="n"/>
      <c r="M39" s="88" t="n"/>
      <c r="N39" s="88" t="n"/>
      <c r="O39" s="88" t="n"/>
      <c r="P39" s="88" t="n"/>
      <c r="Q39" s="88" t="n"/>
      <c r="R39" s="88" t="n"/>
      <c r="S39" s="88" t="n"/>
      <c r="T39" s="88" t="n"/>
      <c r="U39" s="88" t="n"/>
      <c r="V39" s="88" t="n"/>
      <c r="W39" s="88" t="n"/>
      <c r="X39" s="88" t="n"/>
      <c r="Y39" s="88">
        <f>Datos!X7</f>
        <v/>
      </c>
      <c r="Z39" s="88" t="n"/>
      <c r="AA39" s="88" t="n"/>
      <c r="AB39" s="5" t="n"/>
      <c r="AC39" s="120" t="inlineStr">
        <is>
          <t xml:space="preserve">≥ </t>
        </is>
      </c>
      <c r="AD39" s="121" t="n">
        <v>16</v>
      </c>
      <c r="AE39" s="120" t="inlineStr">
        <is>
          <t xml:space="preserve">≥ </t>
        </is>
      </c>
      <c r="AF39" s="121" t="n">
        <v>20</v>
      </c>
      <c r="AG39" s="3" t="n"/>
      <c r="AH39" s="20" t="n"/>
      <c r="AL39" s="21" t="n"/>
      <c r="AM39" s="9" t="n"/>
      <c r="AN39" s="87" t="n"/>
      <c r="AO39" s="88" t="n"/>
      <c r="AP39" s="88" t="n"/>
      <c r="AQ39" s="88" t="n"/>
      <c r="AR39" s="88" t="n"/>
      <c r="AS39" s="88" t="n"/>
      <c r="AT39" s="88" t="n"/>
      <c r="AU39" s="88" t="n"/>
      <c r="AV39" s="88" t="n"/>
      <c r="AW39" s="88" t="n"/>
      <c r="AX39" s="88" t="n"/>
      <c r="AY39" s="5" t="n"/>
      <c r="AZ39" s="120" t="n"/>
      <c r="BA39" s="121" t="n"/>
      <c r="BB39" s="120" t="n"/>
      <c r="BC39" s="121" t="n"/>
      <c r="BD39" s="3" t="n"/>
      <c r="BE39" s="20" t="n"/>
      <c r="BI39" s="21" t="n"/>
    </row>
    <row r="40" ht="18" customHeight="1">
      <c r="A40" s="9" t="n"/>
      <c r="B40" s="87" t="inlineStr">
        <is>
          <t>Na (Sodio)</t>
        </is>
      </c>
      <c r="C40" s="88" t="n">
        <v>0</v>
      </c>
      <c r="D40" s="88" t="n"/>
      <c r="E40" s="88" t="n"/>
      <c r="F40" s="88" t="n"/>
      <c r="G40" s="88" t="n"/>
      <c r="H40" s="88" t="n"/>
      <c r="I40" s="88" t="n"/>
      <c r="J40" s="88" t="n"/>
      <c r="K40" s="88" t="n"/>
      <c r="L40" s="88" t="n"/>
      <c r="M40" s="88" t="n"/>
      <c r="N40" s="88" t="n"/>
      <c r="O40" s="88" t="n"/>
      <c r="P40" s="88" t="n"/>
      <c r="Q40" s="88" t="n"/>
      <c r="R40" s="88" t="n"/>
      <c r="S40" s="88" t="n"/>
      <c r="T40" s="88" t="n"/>
      <c r="U40" s="88" t="n"/>
      <c r="V40" s="88" t="n"/>
      <c r="W40" s="88" t="n"/>
      <c r="X40" s="88" t="n"/>
      <c r="Y40" s="88">
        <f>Datos!X15</f>
        <v/>
      </c>
      <c r="Z40" s="88" t="n"/>
      <c r="AA40" s="88" t="n"/>
      <c r="AB40" s="5" t="n"/>
      <c r="AC40" s="120" t="inlineStr">
        <is>
          <t xml:space="preserve">≥ </t>
        </is>
      </c>
      <c r="AD40" s="121" t="n">
        <v>16</v>
      </c>
      <c r="AE40" s="120" t="inlineStr">
        <is>
          <t xml:space="preserve">≥ </t>
        </is>
      </c>
      <c r="AF40" s="121" t="n">
        <v>30</v>
      </c>
      <c r="AG40" s="3" t="n"/>
      <c r="AH40" s="20" t="n"/>
      <c r="AL40" s="21" t="n"/>
      <c r="AM40" s="9" t="n"/>
      <c r="AN40" s="87" t="n"/>
      <c r="AO40" s="88" t="n"/>
      <c r="AP40" s="88" t="n"/>
      <c r="AQ40" s="88" t="n"/>
      <c r="AR40" s="88" t="n"/>
      <c r="AS40" s="88" t="n"/>
      <c r="AT40" s="88" t="n"/>
      <c r="AU40" s="88" t="n"/>
      <c r="AV40" s="88" t="n"/>
      <c r="AW40" s="88" t="n"/>
      <c r="AX40" s="88" t="n"/>
      <c r="AY40" s="5" t="n"/>
      <c r="AZ40" s="120" t="n"/>
      <c r="BA40" s="121" t="n"/>
      <c r="BB40" s="120" t="n"/>
      <c r="BC40" s="121" t="n"/>
      <c r="BD40" s="3" t="n"/>
      <c r="BE40" s="20" t="n"/>
      <c r="BI40" s="21" t="n"/>
    </row>
    <row r="41" ht="18" customHeight="1">
      <c r="A41" s="9" t="n"/>
      <c r="B41" s="87" t="inlineStr">
        <is>
          <t>Vanadio (V)</t>
        </is>
      </c>
      <c r="C41" s="88" t="n">
        <v>0</v>
      </c>
      <c r="D41" s="88" t="n"/>
      <c r="E41" s="88" t="n"/>
      <c r="F41" s="88" t="n"/>
      <c r="G41" s="88" t="n"/>
      <c r="H41" s="88" t="n"/>
      <c r="I41" s="88" t="n"/>
      <c r="J41" s="88" t="n"/>
      <c r="K41" s="88" t="n"/>
      <c r="L41" s="88" t="n"/>
      <c r="M41" s="88" t="n"/>
      <c r="N41" s="88" t="n"/>
      <c r="O41" s="88" t="n"/>
      <c r="P41" s="88" t="n"/>
      <c r="Q41" s="88" t="n"/>
      <c r="R41" s="88" t="n"/>
      <c r="S41" s="88" t="n"/>
      <c r="T41" s="88" t="n"/>
      <c r="U41" s="88" t="n"/>
      <c r="V41" s="88" t="n"/>
      <c r="W41" s="88" t="n"/>
      <c r="X41" s="88" t="n"/>
      <c r="Y41" s="88">
        <f>Datos!X17</f>
        <v/>
      </c>
      <c r="Z41" s="88" t="n"/>
      <c r="AA41" s="88" t="n"/>
      <c r="AB41" s="5" t="n"/>
      <c r="AC41" s="120" t="inlineStr">
        <is>
          <t xml:space="preserve">≥ </t>
        </is>
      </c>
      <c r="AD41" s="121" t="n">
        <v>30</v>
      </c>
      <c r="AE41" s="120" t="inlineStr">
        <is>
          <t xml:space="preserve">≥ </t>
        </is>
      </c>
      <c r="AF41" s="121" t="n">
        <v>50</v>
      </c>
      <c r="AG41" s="3" t="n"/>
      <c r="AH41" s="20" t="n"/>
      <c r="AL41" s="21" t="n"/>
      <c r="AM41" s="9" t="n"/>
      <c r="AN41" s="87" t="n"/>
      <c r="AO41" s="88" t="n"/>
      <c r="AP41" s="88" t="n"/>
      <c r="AQ41" s="88" t="n"/>
      <c r="AR41" s="88" t="n"/>
      <c r="AS41" s="88" t="n"/>
      <c r="AT41" s="88" t="n"/>
      <c r="AU41" s="88" t="n"/>
      <c r="AV41" s="88" t="n"/>
      <c r="AW41" s="88" t="n"/>
      <c r="AX41" s="88" t="n"/>
      <c r="AY41" s="5" t="n"/>
      <c r="AZ41" s="120" t="n"/>
      <c r="BA41" s="121" t="n"/>
      <c r="BB41" s="120" t="n"/>
      <c r="BC41" s="121" t="n"/>
      <c r="BD41" s="3" t="n"/>
      <c r="BE41" s="20" t="n"/>
      <c r="BI41" s="21" t="n"/>
    </row>
    <row r="42" ht="18" customFormat="1" customHeight="1" s="19">
      <c r="A42" s="79" t="n"/>
      <c r="B42" s="87" t="inlineStr">
        <is>
          <t>Ni (Niquel)</t>
        </is>
      </c>
      <c r="C42" s="88" t="n">
        <v>0</v>
      </c>
      <c r="D42" s="88" t="n"/>
      <c r="E42" s="88" t="n"/>
      <c r="F42" s="88" t="n"/>
      <c r="G42" s="88" t="n"/>
      <c r="H42" s="88" t="n"/>
      <c r="I42" s="88" t="n"/>
      <c r="J42" s="88" t="n"/>
      <c r="K42" s="88" t="n"/>
      <c r="L42" s="88" t="n"/>
      <c r="M42" s="88" t="n"/>
      <c r="N42" s="88" t="n"/>
      <c r="O42" s="88" t="n"/>
      <c r="P42" s="88" t="n"/>
      <c r="Q42" s="88" t="n"/>
      <c r="R42" s="88" t="n"/>
      <c r="S42" s="88" t="n"/>
      <c r="T42" s="88" t="n"/>
      <c r="U42" s="88" t="n"/>
      <c r="V42" s="88" t="n"/>
      <c r="W42" s="88" t="n"/>
      <c r="X42" s="88" t="n"/>
      <c r="Y42" s="88">
        <f>Datos!X16</f>
        <v/>
      </c>
      <c r="Z42" s="88" t="n"/>
      <c r="AA42" s="88" t="n"/>
      <c r="AB42" s="1" t="n"/>
      <c r="AC42" s="120" t="n"/>
      <c r="AD42" s="122" t="inlineStr">
        <is>
          <t>--</t>
        </is>
      </c>
      <c r="AE42" s="120" t="inlineStr">
        <is>
          <t xml:space="preserve">≥ </t>
        </is>
      </c>
      <c r="AF42" s="122" t="n">
        <v>20</v>
      </c>
      <c r="AG42" s="75" t="n"/>
      <c r="AH42" s="20" t="n"/>
      <c r="AL42" s="21" t="n"/>
      <c r="AM42" s="79" t="n"/>
      <c r="AN42" s="87" t="n"/>
      <c r="AO42" s="88" t="n"/>
      <c r="AP42" s="88" t="n"/>
      <c r="AQ42" s="88" t="n"/>
      <c r="AR42" s="88" t="n"/>
      <c r="AS42" s="88" t="n"/>
      <c r="AT42" s="88" t="n"/>
      <c r="AU42" s="88" t="n"/>
      <c r="AV42" s="88" t="n"/>
      <c r="AW42" s="88" t="n"/>
      <c r="AX42" s="88" t="n"/>
      <c r="AY42" s="1" t="n"/>
      <c r="AZ42" s="120" t="n"/>
      <c r="BA42" s="122" t="n"/>
      <c r="BB42" s="120" t="n"/>
      <c r="BC42" s="122" t="n"/>
      <c r="BD42" s="75" t="n"/>
      <c r="BE42" s="20" t="n"/>
      <c r="BI42" s="21" t="n"/>
    </row>
    <row r="43" ht="18" customFormat="1" customHeight="1" s="19">
      <c r="A43" s="79" t="n"/>
      <c r="B43" s="90" t="n"/>
      <c r="C43" s="90" t="n"/>
      <c r="D43" s="90" t="n"/>
      <c r="E43" s="90" t="n"/>
      <c r="F43" s="90" t="n"/>
      <c r="G43" s="90" t="n"/>
      <c r="H43" s="90" t="n"/>
      <c r="I43" s="90" t="n"/>
      <c r="J43" s="90" t="n"/>
      <c r="K43" s="90" t="n"/>
      <c r="L43" s="90" t="n"/>
      <c r="M43" s="90" t="n"/>
      <c r="N43" s="90" t="n"/>
      <c r="O43" s="90" t="n"/>
      <c r="P43" s="90" t="n"/>
      <c r="Q43" s="90" t="n"/>
      <c r="R43" s="90" t="n"/>
      <c r="S43" s="90" t="n"/>
      <c r="T43" s="90" t="n"/>
      <c r="U43" s="90" t="n"/>
      <c r="V43" s="90" t="n"/>
      <c r="W43" s="90" t="n"/>
      <c r="X43" s="90" t="n"/>
      <c r="Y43" s="90" t="n"/>
      <c r="Z43" s="90" t="n"/>
      <c r="AA43" s="90" t="n"/>
      <c r="AC43" s="123" t="n"/>
      <c r="AD43" s="123" t="n"/>
      <c r="AE43" s="123" t="n"/>
      <c r="AF43" s="123" t="n"/>
      <c r="AG43" s="75" t="n"/>
      <c r="AH43" s="20" t="n"/>
      <c r="AL43" s="21" t="n"/>
      <c r="AM43" s="79" t="n"/>
      <c r="AN43" s="90" t="n"/>
      <c r="AO43" s="90" t="n"/>
      <c r="AP43" s="90" t="n"/>
      <c r="AQ43" s="90" t="n"/>
      <c r="AR43" s="90" t="n"/>
      <c r="AS43" s="90" t="n"/>
      <c r="AT43" s="90" t="n"/>
      <c r="AU43" s="90" t="n"/>
      <c r="AV43" s="90" t="n"/>
      <c r="AW43" s="90" t="n"/>
      <c r="AX43" s="90" t="n"/>
      <c r="AZ43" s="123" t="n"/>
      <c r="BA43" s="123" t="n"/>
      <c r="BB43" s="123" t="n"/>
      <c r="BC43" s="123" t="n"/>
      <c r="BD43" s="75" t="n"/>
      <c r="BE43" s="20" t="n"/>
      <c r="BI43" s="21" t="n"/>
    </row>
    <row r="44" ht="18" customHeight="1">
      <c r="A44" s="9" t="n"/>
      <c r="B44" s="208" t="inlineStr">
        <is>
          <t>DESGATE DEL EQUIPO  - PPM (mg/kg)</t>
        </is>
      </c>
      <c r="C44" s="412" t="n"/>
      <c r="D44" s="412" t="n"/>
      <c r="E44" s="412" t="n"/>
      <c r="F44" s="412" t="n"/>
      <c r="G44" s="412" t="n"/>
      <c r="H44" s="412" t="n"/>
      <c r="I44" s="412" t="n"/>
      <c r="J44" s="412" t="n"/>
      <c r="K44" s="412" t="n"/>
      <c r="L44" s="412" t="n"/>
      <c r="M44" s="412" t="n"/>
      <c r="N44" s="412" t="n"/>
      <c r="O44" s="412" t="n"/>
      <c r="P44" s="412" t="n"/>
      <c r="Q44" s="412" t="n"/>
      <c r="R44" s="412" t="n"/>
      <c r="S44" s="412" t="n"/>
      <c r="T44" s="412" t="n"/>
      <c r="U44" s="412" t="n"/>
      <c r="V44" s="412" t="n"/>
      <c r="W44" s="412" t="n"/>
      <c r="X44" s="412" t="n"/>
      <c r="Y44" s="412" t="n"/>
      <c r="Z44" s="412" t="n"/>
      <c r="AA44" s="413" t="n"/>
      <c r="AC44" s="209" t="inlineStr">
        <is>
          <t>* Rangos Generales</t>
        </is>
      </c>
      <c r="AD44" s="399" t="n"/>
      <c r="AE44" s="399" t="n"/>
      <c r="AF44" s="400" t="n"/>
      <c r="AG44" s="3" t="n"/>
      <c r="AH44" s="20" t="n"/>
      <c r="AL44" s="21" t="n"/>
      <c r="AM44" s="9" t="n"/>
      <c r="AN44" s="208" t="n"/>
      <c r="AO44" s="412" t="n"/>
      <c r="AP44" s="412" t="n"/>
      <c r="AQ44" s="412" t="n"/>
      <c r="AR44" s="412" t="n"/>
      <c r="AS44" s="412" t="n"/>
      <c r="AT44" s="412" t="n"/>
      <c r="AU44" s="412" t="n"/>
      <c r="AV44" s="412" t="n"/>
      <c r="AW44" s="412" t="n"/>
      <c r="AX44" s="413" t="n"/>
      <c r="AZ44" s="209" t="n"/>
      <c r="BA44" s="399" t="n"/>
      <c r="BB44" s="399" t="n"/>
      <c r="BC44" s="400" t="n"/>
      <c r="BD44" s="3" t="n"/>
      <c r="BE44" s="20" t="n"/>
      <c r="BI44" s="21" t="n"/>
    </row>
    <row r="45" ht="18" customHeight="1">
      <c r="A45" s="9" t="n"/>
      <c r="B45" s="414" t="n"/>
      <c r="C45" s="415" t="n"/>
      <c r="D45" s="415" t="n"/>
      <c r="E45" s="415" t="n"/>
      <c r="F45" s="415" t="n"/>
      <c r="G45" s="415" t="n"/>
      <c r="H45" s="415" t="n"/>
      <c r="I45" s="415" t="n"/>
      <c r="J45" s="415" t="n"/>
      <c r="K45" s="415" t="n"/>
      <c r="L45" s="415" t="n"/>
      <c r="M45" s="415" t="n"/>
      <c r="N45" s="415" t="n"/>
      <c r="O45" s="415" t="n"/>
      <c r="P45" s="415" t="n"/>
      <c r="Q45" s="415" t="n"/>
      <c r="R45" s="415" t="n"/>
      <c r="S45" s="415" t="n"/>
      <c r="T45" s="415" t="n"/>
      <c r="U45" s="415" t="n"/>
      <c r="V45" s="415" t="n"/>
      <c r="W45" s="415" t="n"/>
      <c r="X45" s="415" t="n"/>
      <c r="Y45" s="415" t="n"/>
      <c r="Z45" s="415" t="n"/>
      <c r="AA45" s="416" t="n"/>
      <c r="AB45" s="5" t="n"/>
      <c r="AC45" s="209" t="inlineStr">
        <is>
          <t>Precaución</t>
        </is>
      </c>
      <c r="AD45" s="400" t="n"/>
      <c r="AE45" s="209" t="inlineStr">
        <is>
          <t>Anormal</t>
        </is>
      </c>
      <c r="AF45" s="400" t="n"/>
      <c r="AG45" s="76" t="n"/>
      <c r="AH45" s="20" t="n"/>
      <c r="AL45" s="21" t="n"/>
      <c r="AM45" s="9" t="n"/>
      <c r="AN45" s="414" t="n"/>
      <c r="AO45" s="415" t="n"/>
      <c r="AP45" s="415" t="n"/>
      <c r="AQ45" s="415" t="n"/>
      <c r="AR45" s="415" t="n"/>
      <c r="AS45" s="415" t="n"/>
      <c r="AT45" s="415" t="n"/>
      <c r="AU45" s="415" t="n"/>
      <c r="AV45" s="415" t="n"/>
      <c r="AW45" s="415" t="n"/>
      <c r="AX45" s="416" t="n"/>
      <c r="AY45" s="5" t="n"/>
      <c r="AZ45" s="209" t="n"/>
      <c r="BA45" s="400" t="n"/>
      <c r="BB45" s="209" t="n"/>
      <c r="BC45" s="400" t="n"/>
      <c r="BD45" s="76" t="n"/>
      <c r="BE45" s="20" t="n"/>
      <c r="BI45" s="21" t="n"/>
    </row>
    <row r="46" ht="18" customHeight="1">
      <c r="A46" s="9" t="n"/>
      <c r="B46" s="87" t="inlineStr">
        <is>
          <t>Fe (Hierro)</t>
        </is>
      </c>
      <c r="C46" s="88" t="n">
        <v>0</v>
      </c>
      <c r="D46" s="88" t="n"/>
      <c r="E46" s="88" t="n"/>
      <c r="F46" s="88" t="n"/>
      <c r="G46" s="88" t="n"/>
      <c r="H46" s="88" t="n"/>
      <c r="I46" s="88" t="n"/>
      <c r="J46" s="88" t="n"/>
      <c r="K46" s="88" t="n"/>
      <c r="L46" s="88" t="n"/>
      <c r="M46" s="88" t="n"/>
      <c r="N46" s="88" t="n"/>
      <c r="O46" s="88" t="n"/>
      <c r="P46" s="88" t="n"/>
      <c r="Q46" s="88" t="n"/>
      <c r="R46" s="88" t="n"/>
      <c r="S46" s="88" t="n"/>
      <c r="T46" s="88" t="n"/>
      <c r="U46" s="88" t="n"/>
      <c r="V46" s="88" t="n"/>
      <c r="W46" s="88" t="n"/>
      <c r="X46" s="88" t="n"/>
      <c r="Y46" s="88">
        <f>Datos!X3</f>
        <v/>
      </c>
      <c r="Z46" s="88" t="n"/>
      <c r="AA46" s="88" t="n"/>
      <c r="AB46" s="5" t="n"/>
      <c r="AC46" s="120" t="inlineStr">
        <is>
          <t xml:space="preserve">≥ </t>
        </is>
      </c>
      <c r="AD46" s="121" t="n">
        <v>100</v>
      </c>
      <c r="AE46" s="120" t="inlineStr">
        <is>
          <t xml:space="preserve">≥ </t>
        </is>
      </c>
      <c r="AF46" s="121" t="n">
        <v>190</v>
      </c>
      <c r="AG46" s="3" t="n"/>
      <c r="AH46" s="20" t="n"/>
      <c r="AL46" s="21" t="n"/>
      <c r="AM46" s="9" t="n"/>
      <c r="AN46" s="87" t="n"/>
      <c r="AO46" s="88" t="n"/>
      <c r="AP46" s="88" t="n"/>
      <c r="AQ46" s="88" t="n"/>
      <c r="AR46" s="88" t="n"/>
      <c r="AS46" s="88" t="n"/>
      <c r="AT46" s="88" t="n"/>
      <c r="AU46" s="88" t="n"/>
      <c r="AV46" s="88" t="n"/>
      <c r="AW46" s="88" t="n"/>
      <c r="AX46" s="88" t="n"/>
      <c r="AY46" s="5" t="n"/>
      <c r="AZ46" s="120" t="n"/>
      <c r="BA46" s="121" t="n"/>
      <c r="BB46" s="120" t="n"/>
      <c r="BC46" s="121" t="n"/>
      <c r="BD46" s="3" t="n"/>
      <c r="BE46" s="20" t="n"/>
      <c r="BI46" s="21" t="n"/>
    </row>
    <row r="47" ht="18" customHeight="1">
      <c r="A47" s="9" t="n"/>
      <c r="B47" s="87" t="inlineStr">
        <is>
          <t>Cr (Cromo)</t>
        </is>
      </c>
      <c r="C47" s="88" t="n">
        <v>0</v>
      </c>
      <c r="D47" s="88" t="n"/>
      <c r="E47" s="88" t="n"/>
      <c r="F47" s="88" t="n"/>
      <c r="G47" s="88" t="n"/>
      <c r="H47" s="88" t="n"/>
      <c r="I47" s="88" t="n"/>
      <c r="J47" s="88" t="n"/>
      <c r="K47" s="88" t="n"/>
      <c r="L47" s="88" t="n"/>
      <c r="M47" s="88" t="n"/>
      <c r="N47" s="88" t="n"/>
      <c r="O47" s="88" t="n"/>
      <c r="P47" s="88" t="n"/>
      <c r="Q47" s="88" t="n"/>
      <c r="R47" s="88" t="n"/>
      <c r="S47" s="88" t="n"/>
      <c r="T47" s="88" t="n"/>
      <c r="U47" s="88" t="n"/>
      <c r="V47" s="88" t="n"/>
      <c r="W47" s="88" t="n"/>
      <c r="X47" s="88" t="n"/>
      <c r="Y47" s="88">
        <f>Datos!X4</f>
        <v/>
      </c>
      <c r="Z47" s="88" t="n"/>
      <c r="AA47" s="88" t="n"/>
      <c r="AB47" s="5" t="n"/>
      <c r="AC47" s="120" t="inlineStr">
        <is>
          <t xml:space="preserve">≥ </t>
        </is>
      </c>
      <c r="AD47" s="121" t="n">
        <v>11</v>
      </c>
      <c r="AE47" s="120" t="inlineStr">
        <is>
          <t xml:space="preserve">≥ </t>
        </is>
      </c>
      <c r="AF47" s="121" t="n">
        <v>20</v>
      </c>
      <c r="AG47" s="3" t="n"/>
      <c r="AH47" s="20" t="n"/>
      <c r="AL47" s="21" t="n"/>
      <c r="AM47" s="9" t="n"/>
      <c r="AN47" s="87" t="n"/>
      <c r="AO47" s="88" t="n"/>
      <c r="AP47" s="88" t="n"/>
      <c r="AQ47" s="88" t="n"/>
      <c r="AR47" s="88" t="n"/>
      <c r="AS47" s="88" t="n"/>
      <c r="AT47" s="88" t="n"/>
      <c r="AU47" s="88" t="n"/>
      <c r="AV47" s="88" t="n"/>
      <c r="AW47" s="88" t="n"/>
      <c r="AX47" s="88" t="n"/>
      <c r="AY47" s="5" t="n"/>
      <c r="AZ47" s="120" t="n"/>
      <c r="BA47" s="121" t="n"/>
      <c r="BB47" s="120" t="n"/>
      <c r="BC47" s="121" t="n"/>
      <c r="BD47" s="3" t="n"/>
      <c r="BE47" s="20" t="n"/>
      <c r="BI47" s="21" t="n"/>
    </row>
    <row r="48" ht="18" customHeight="1">
      <c r="A48" s="9" t="n"/>
      <c r="B48" s="87" t="inlineStr">
        <is>
          <t>Al (Aluminio)</t>
        </is>
      </c>
      <c r="C48" s="88" t="n">
        <v>0</v>
      </c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>
        <f>Datos!X6</f>
        <v/>
      </c>
      <c r="Z48" s="88" t="n"/>
      <c r="AA48" s="88" t="n"/>
      <c r="AB48" s="5" t="n"/>
      <c r="AC48" s="120" t="inlineStr">
        <is>
          <t xml:space="preserve">≥ </t>
        </is>
      </c>
      <c r="AD48" s="121" t="n">
        <v>16</v>
      </c>
      <c r="AE48" s="120" t="inlineStr">
        <is>
          <t xml:space="preserve">≥ </t>
        </is>
      </c>
      <c r="AF48" s="121" t="n">
        <v>20</v>
      </c>
      <c r="AG48" s="3" t="n"/>
      <c r="AH48" s="20" t="n"/>
      <c r="AL48" s="21" t="n"/>
      <c r="AM48" s="9" t="n"/>
      <c r="AN48" s="87" t="n"/>
      <c r="AO48" s="88" t="n"/>
      <c r="AP48" s="88" t="n"/>
      <c r="AQ48" s="88" t="n"/>
      <c r="AR48" s="88" t="n"/>
      <c r="AS48" s="88" t="n"/>
      <c r="AT48" s="88" t="n"/>
      <c r="AU48" s="88" t="n"/>
      <c r="AV48" s="88" t="n"/>
      <c r="AW48" s="88" t="n"/>
      <c r="AX48" s="88" t="n"/>
      <c r="AY48" s="5" t="n"/>
      <c r="AZ48" s="120" t="n"/>
      <c r="BA48" s="121" t="n"/>
      <c r="BB48" s="120" t="n"/>
      <c r="BC48" s="121" t="n"/>
      <c r="BD48" s="3" t="n"/>
      <c r="BE48" s="20" t="n"/>
      <c r="BI48" s="21" t="n"/>
    </row>
    <row r="49" ht="18" customHeight="1">
      <c r="A49" s="9" t="n"/>
      <c r="B49" s="87" t="inlineStr">
        <is>
          <t>Cu (Cobre)</t>
        </is>
      </c>
      <c r="C49" s="88" t="n">
        <v>0</v>
      </c>
      <c r="D49" s="88" t="n"/>
      <c r="E49" s="88" t="n"/>
      <c r="F49" s="88" t="n"/>
      <c r="G49" s="88" t="n"/>
      <c r="H49" s="88" t="n"/>
      <c r="I49" s="88" t="n"/>
      <c r="J49" s="88" t="n"/>
      <c r="K49" s="88" t="n"/>
      <c r="L49" s="88" t="n"/>
      <c r="M49" s="88" t="n"/>
      <c r="N49" s="88" t="n"/>
      <c r="O49" s="88" t="n"/>
      <c r="P49" s="88" t="n"/>
      <c r="Q49" s="88" t="n"/>
      <c r="R49" s="88" t="n"/>
      <c r="S49" s="88" t="n"/>
      <c r="T49" s="88" t="n"/>
      <c r="U49" s="88" t="n"/>
      <c r="V49" s="88" t="n"/>
      <c r="W49" s="88" t="n"/>
      <c r="X49" s="88" t="n"/>
      <c r="Y49" s="88">
        <f>Datos!X2</f>
        <v/>
      </c>
      <c r="Z49" s="88" t="n"/>
      <c r="AA49" s="88" t="n"/>
      <c r="AB49" s="69" t="n"/>
      <c r="AC49" s="120" t="inlineStr">
        <is>
          <t xml:space="preserve">≥ </t>
        </is>
      </c>
      <c r="AD49" s="121" t="n">
        <v>31</v>
      </c>
      <c r="AE49" s="120" t="inlineStr">
        <is>
          <t xml:space="preserve">≥ </t>
        </is>
      </c>
      <c r="AF49" s="121" t="n">
        <v>50</v>
      </c>
      <c r="AG49" s="3" t="n"/>
      <c r="AH49" s="20" t="n"/>
      <c r="AL49" s="21" t="n"/>
      <c r="AM49" s="9" t="n"/>
      <c r="AN49" s="87" t="n"/>
      <c r="AO49" s="88" t="n"/>
      <c r="AP49" s="88" t="n"/>
      <c r="AQ49" s="88" t="n"/>
      <c r="AR49" s="88" t="n"/>
      <c r="AS49" s="88" t="n"/>
      <c r="AT49" s="88" t="n"/>
      <c r="AU49" s="88" t="n"/>
      <c r="AV49" s="88" t="n"/>
      <c r="AW49" s="88" t="n"/>
      <c r="AX49" s="88" t="n"/>
      <c r="AY49" s="69" t="n"/>
      <c r="AZ49" s="120" t="n"/>
      <c r="BA49" s="121" t="n"/>
      <c r="BB49" s="120" t="n"/>
      <c r="BC49" s="121" t="n"/>
      <c r="BD49" s="3" t="n"/>
      <c r="BE49" s="20" t="n"/>
      <c r="BI49" s="21" t="n"/>
    </row>
    <row r="50" ht="18" customHeight="1">
      <c r="A50" s="9" t="n"/>
      <c r="B50" s="87" t="inlineStr">
        <is>
          <t>Pb (Plomo)</t>
        </is>
      </c>
      <c r="C50" s="88" t="n">
        <v>0</v>
      </c>
      <c r="D50" s="88" t="n"/>
      <c r="E50" s="88" t="n"/>
      <c r="F50" s="88" t="n"/>
      <c r="G50" s="88" t="n"/>
      <c r="H50" s="88" t="n"/>
      <c r="I50" s="88" t="n"/>
      <c r="J50" s="88" t="n"/>
      <c r="K50" s="88" t="n"/>
      <c r="L50" s="88" t="n"/>
      <c r="M50" s="88" t="n"/>
      <c r="N50" s="88" t="n"/>
      <c r="O50" s="88" t="n"/>
      <c r="P50" s="88" t="n"/>
      <c r="Q50" s="88" t="n"/>
      <c r="R50" s="88" t="n"/>
      <c r="S50" s="88" t="n"/>
      <c r="T50" s="88" t="n"/>
      <c r="U50" s="88" t="n"/>
      <c r="V50" s="88" t="n"/>
      <c r="W50" s="88" t="n"/>
      <c r="X50" s="88" t="n"/>
      <c r="Y50" s="88">
        <f>Datos!X5</f>
        <v/>
      </c>
      <c r="Z50" s="88" t="n"/>
      <c r="AA50" s="88" t="n"/>
      <c r="AB50" s="5" t="n"/>
      <c r="AC50" s="120" t="inlineStr">
        <is>
          <t xml:space="preserve">≥ </t>
        </is>
      </c>
      <c r="AD50" s="121" t="n">
        <v>31</v>
      </c>
      <c r="AE50" s="120" t="inlineStr">
        <is>
          <t xml:space="preserve">≥ </t>
        </is>
      </c>
      <c r="AF50" s="121" t="n">
        <v>50</v>
      </c>
      <c r="AG50" s="3" t="n"/>
      <c r="AH50" s="20" t="n"/>
      <c r="AL50" s="21" t="n"/>
      <c r="AM50" s="9" t="n"/>
      <c r="AN50" s="87" t="n"/>
      <c r="AO50" s="88" t="n"/>
      <c r="AP50" s="88" t="n"/>
      <c r="AQ50" s="88" t="n"/>
      <c r="AR50" s="88" t="n"/>
      <c r="AS50" s="88" t="n"/>
      <c r="AT50" s="88" t="n"/>
      <c r="AU50" s="88" t="n"/>
      <c r="AV50" s="88" t="n"/>
      <c r="AW50" s="88" t="n"/>
      <c r="AX50" s="88" t="n"/>
      <c r="AY50" s="5" t="n"/>
      <c r="AZ50" s="120" t="n"/>
      <c r="BA50" s="121" t="n"/>
      <c r="BB50" s="120" t="n"/>
      <c r="BC50" s="121" t="n"/>
      <c r="BD50" s="3" t="n"/>
      <c r="BE50" s="20" t="n"/>
      <c r="BI50" s="21" t="n"/>
    </row>
    <row r="51" ht="18" customFormat="1" customHeight="1" s="19">
      <c r="A51" s="79" t="n"/>
      <c r="B51" s="87" t="inlineStr">
        <is>
          <t>Estaño (Sn)</t>
        </is>
      </c>
      <c r="C51" s="88" t="n">
        <v>0</v>
      </c>
      <c r="D51" s="88" t="n"/>
      <c r="E51" s="88" t="n"/>
      <c r="F51" s="88" t="n"/>
      <c r="G51" s="88" t="n"/>
      <c r="H51" s="88" t="n"/>
      <c r="I51" s="88" t="n"/>
      <c r="J51" s="88" t="n"/>
      <c r="K51" s="88" t="n"/>
      <c r="L51" s="88" t="n"/>
      <c r="M51" s="88" t="n"/>
      <c r="N51" s="88" t="n"/>
      <c r="O51" s="88" t="n"/>
      <c r="P51" s="88" t="n"/>
      <c r="Q51" s="88" t="n"/>
      <c r="R51" s="88" t="n"/>
      <c r="S51" s="88" t="n"/>
      <c r="T51" s="88" t="n"/>
      <c r="U51" s="88" t="n"/>
      <c r="V51" s="88" t="n"/>
      <c r="W51" s="88" t="n"/>
      <c r="X51" s="88" t="n"/>
      <c r="Y51" s="88">
        <f>Datos!X12</f>
        <v/>
      </c>
      <c r="Z51" s="88" t="n"/>
      <c r="AA51" s="88" t="n"/>
      <c r="AB51" s="5" t="n"/>
      <c r="AC51" s="120" t="inlineStr">
        <is>
          <t xml:space="preserve">≥ </t>
        </is>
      </c>
      <c r="AD51" s="121" t="n">
        <v>6</v>
      </c>
      <c r="AE51" s="120" t="inlineStr">
        <is>
          <t xml:space="preserve">≥ </t>
        </is>
      </c>
      <c r="AF51" s="121" t="n">
        <v>15</v>
      </c>
      <c r="AG51" s="75" t="n"/>
      <c r="AH51" s="20" t="n"/>
      <c r="AL51" s="21" t="n"/>
      <c r="AM51" s="79" t="n"/>
      <c r="AN51" s="87" t="n"/>
      <c r="AO51" s="88" t="n"/>
      <c r="AP51" s="88" t="n"/>
      <c r="AQ51" s="88" t="n"/>
      <c r="AR51" s="88" t="n"/>
      <c r="AS51" s="88" t="n"/>
      <c r="AT51" s="88" t="n"/>
      <c r="AU51" s="88" t="n"/>
      <c r="AV51" s="88" t="n"/>
      <c r="AW51" s="88" t="n"/>
      <c r="AX51" s="88" t="n"/>
      <c r="AY51" s="5" t="n"/>
      <c r="AZ51" s="120" t="n"/>
      <c r="BA51" s="121" t="n"/>
      <c r="BB51" s="120" t="n"/>
      <c r="BC51" s="121" t="n"/>
      <c r="BD51" s="75" t="n"/>
      <c r="BE51" s="20" t="n"/>
      <c r="BI51" s="21" t="n"/>
    </row>
    <row r="52" ht="18" customHeight="1">
      <c r="A52" s="9" t="n"/>
      <c r="B52" s="90" t="n"/>
      <c r="C52" s="90" t="n"/>
      <c r="D52" s="90" t="n"/>
      <c r="E52" s="90" t="n"/>
      <c r="F52" s="90" t="n"/>
      <c r="G52" s="90" t="n"/>
      <c r="H52" s="90" t="n"/>
      <c r="I52" s="90" t="n"/>
      <c r="J52" s="90" t="n"/>
      <c r="K52" s="90" t="n"/>
      <c r="L52" s="90" t="n"/>
      <c r="M52" s="90" t="n"/>
      <c r="N52" s="90" t="n"/>
      <c r="O52" s="90" t="n"/>
      <c r="P52" s="90" t="n"/>
      <c r="Q52" s="90" t="n"/>
      <c r="R52" s="90" t="n"/>
      <c r="S52" s="90" t="n"/>
      <c r="T52" s="90" t="n"/>
      <c r="U52" s="90" t="n"/>
      <c r="V52" s="90" t="n"/>
      <c r="W52" s="90" t="n"/>
      <c r="X52" s="90" t="n"/>
      <c r="Y52" s="90" t="n"/>
      <c r="Z52" s="90" t="n"/>
      <c r="AA52" s="90" t="n"/>
      <c r="AC52" s="124" t="n"/>
      <c r="AD52" s="125" t="n"/>
      <c r="AE52" s="126" t="n"/>
      <c r="AF52" s="126" t="n"/>
      <c r="AG52" s="3" t="n"/>
      <c r="AH52" s="20" t="n"/>
      <c r="AL52" s="21" t="n"/>
      <c r="AM52" s="9" t="n"/>
      <c r="AN52" s="90" t="n"/>
      <c r="AO52" s="90" t="n"/>
      <c r="AP52" s="90" t="n"/>
      <c r="AQ52" s="90" t="n"/>
      <c r="AR52" s="90" t="n"/>
      <c r="AS52" s="90" t="n"/>
      <c r="AT52" s="90" t="n"/>
      <c r="AU52" s="90" t="n"/>
      <c r="AV52" s="90" t="n"/>
      <c r="AW52" s="90" t="n"/>
      <c r="AX52" s="90" t="n"/>
      <c r="AZ52" s="124" t="n"/>
      <c r="BA52" s="125" t="n"/>
      <c r="BB52" s="126" t="n"/>
      <c r="BC52" s="126" t="n"/>
      <c r="BD52" s="3" t="n"/>
      <c r="BE52" s="20" t="n"/>
      <c r="BI52" s="21" t="n"/>
    </row>
    <row r="53" ht="18" customFormat="1" customHeight="1" s="19">
      <c r="A53" s="79" t="n"/>
      <c r="B53" s="208" t="inlineStr">
        <is>
          <t>OTROS ELEMENTOS - PPM (mg/kg)</t>
        </is>
      </c>
      <c r="C53" s="412" t="n"/>
      <c r="D53" s="412" t="n"/>
      <c r="E53" s="412" t="n"/>
      <c r="F53" s="412" t="n"/>
      <c r="G53" s="412" t="n"/>
      <c r="H53" s="412" t="n"/>
      <c r="I53" s="412" t="n"/>
      <c r="J53" s="412" t="n"/>
      <c r="K53" s="412" t="n"/>
      <c r="L53" s="412" t="n"/>
      <c r="M53" s="412" t="n"/>
      <c r="N53" s="412" t="n"/>
      <c r="O53" s="412" t="n"/>
      <c r="P53" s="412" t="n"/>
      <c r="Q53" s="412" t="n"/>
      <c r="R53" s="412" t="n"/>
      <c r="S53" s="412" t="n"/>
      <c r="T53" s="412" t="n"/>
      <c r="U53" s="412" t="n"/>
      <c r="V53" s="412" t="n"/>
      <c r="W53" s="412" t="n"/>
      <c r="X53" s="412" t="n"/>
      <c r="Y53" s="412" t="n"/>
      <c r="Z53" s="412" t="n"/>
      <c r="AA53" s="413" t="n"/>
      <c r="AB53" s="1" t="n"/>
      <c r="AC53" s="209" t="inlineStr">
        <is>
          <t>* Rangos Generales</t>
        </is>
      </c>
      <c r="AD53" s="399" t="n"/>
      <c r="AE53" s="399" t="n"/>
      <c r="AF53" s="400" t="n"/>
      <c r="AG53" s="75" t="n"/>
      <c r="AH53" s="20" t="n"/>
      <c r="AL53" s="21" t="n"/>
      <c r="AM53" s="79" t="n"/>
      <c r="AN53" s="208" t="n"/>
      <c r="AO53" s="412" t="n"/>
      <c r="AP53" s="412" t="n"/>
      <c r="AQ53" s="412" t="n"/>
      <c r="AR53" s="412" t="n"/>
      <c r="AS53" s="412" t="n"/>
      <c r="AT53" s="412" t="n"/>
      <c r="AU53" s="412" t="n"/>
      <c r="AV53" s="412" t="n"/>
      <c r="AW53" s="412" t="n"/>
      <c r="AX53" s="413" t="n"/>
      <c r="AY53" s="1" t="n"/>
      <c r="AZ53" s="209" t="n"/>
      <c r="BA53" s="399" t="n"/>
      <c r="BB53" s="399" t="n"/>
      <c r="BC53" s="400" t="n"/>
      <c r="BD53" s="75" t="n"/>
      <c r="BE53" s="20" t="n"/>
      <c r="BI53" s="21" t="n"/>
    </row>
    <row r="54" ht="18" customFormat="1" customHeight="1" s="19">
      <c r="A54" s="79" t="n"/>
      <c r="B54" s="414" t="n"/>
      <c r="C54" s="415" t="n"/>
      <c r="D54" s="415" t="n"/>
      <c r="E54" s="415" t="n"/>
      <c r="F54" s="415" t="n"/>
      <c r="G54" s="415" t="n"/>
      <c r="H54" s="415" t="n"/>
      <c r="I54" s="415" t="n"/>
      <c r="J54" s="415" t="n"/>
      <c r="K54" s="415" t="n"/>
      <c r="L54" s="415" t="n"/>
      <c r="M54" s="415" t="n"/>
      <c r="N54" s="415" t="n"/>
      <c r="O54" s="415" t="n"/>
      <c r="P54" s="415" t="n"/>
      <c r="Q54" s="415" t="n"/>
      <c r="R54" s="415" t="n"/>
      <c r="S54" s="415" t="n"/>
      <c r="T54" s="415" t="n"/>
      <c r="U54" s="415" t="n"/>
      <c r="V54" s="415" t="n"/>
      <c r="W54" s="415" t="n"/>
      <c r="X54" s="415" t="n"/>
      <c r="Y54" s="415" t="n"/>
      <c r="Z54" s="415" t="n"/>
      <c r="AA54" s="416" t="n"/>
      <c r="AB54" s="5" t="n"/>
      <c r="AC54" s="209" t="inlineStr">
        <is>
          <t>Precaución</t>
        </is>
      </c>
      <c r="AD54" s="400" t="n"/>
      <c r="AE54" s="209" t="inlineStr">
        <is>
          <t>Anormal</t>
        </is>
      </c>
      <c r="AF54" s="400" t="n"/>
      <c r="AG54" s="75" t="n"/>
      <c r="AH54" s="20" t="n"/>
      <c r="AL54" s="21" t="n"/>
      <c r="AM54" s="79" t="n"/>
      <c r="AN54" s="414" t="n"/>
      <c r="AO54" s="415" t="n"/>
      <c r="AP54" s="415" t="n"/>
      <c r="AQ54" s="415" t="n"/>
      <c r="AR54" s="415" t="n"/>
      <c r="AS54" s="415" t="n"/>
      <c r="AT54" s="415" t="n"/>
      <c r="AU54" s="415" t="n"/>
      <c r="AV54" s="415" t="n"/>
      <c r="AW54" s="415" t="n"/>
      <c r="AX54" s="416" t="n"/>
      <c r="AY54" s="5" t="n"/>
      <c r="AZ54" s="209" t="n"/>
      <c r="BA54" s="400" t="n"/>
      <c r="BB54" s="209" t="n"/>
      <c r="BC54" s="400" t="n"/>
      <c r="BD54" s="75" t="n"/>
      <c r="BE54" s="20" t="n"/>
      <c r="BI54" s="21" t="n"/>
    </row>
    <row r="55" ht="18" customFormat="1" customHeight="1" s="19">
      <c r="A55" s="79" t="n"/>
      <c r="B55" s="87" t="inlineStr">
        <is>
          <t>Mo (Molibdeno)</t>
        </is>
      </c>
      <c r="C55" s="88" t="n">
        <v>0</v>
      </c>
      <c r="D55" s="88" t="n"/>
      <c r="E55" s="88" t="n"/>
      <c r="F55" s="88" t="n"/>
      <c r="G55" s="88" t="n"/>
      <c r="H55" s="88" t="n"/>
      <c r="I55" s="88" t="n"/>
      <c r="J55" s="88" t="n"/>
      <c r="K55" s="88" t="n"/>
      <c r="L55" s="88" t="n"/>
      <c r="M55" s="88" t="n"/>
      <c r="N55" s="88" t="n"/>
      <c r="O55" s="88" t="n"/>
      <c r="P55" s="88" t="n"/>
      <c r="Q55" s="88" t="n"/>
      <c r="R55" s="88" t="n"/>
      <c r="S55" s="88" t="n"/>
      <c r="T55" s="88" t="n"/>
      <c r="U55" s="88" t="n"/>
      <c r="V55" s="88" t="n"/>
      <c r="W55" s="88" t="n"/>
      <c r="X55" s="88" t="n"/>
      <c r="Y55" s="88">
        <f>Datos!X14</f>
        <v/>
      </c>
      <c r="Z55" s="88" t="n"/>
      <c r="AA55" s="88" t="n"/>
      <c r="AB55" s="5" t="n"/>
      <c r="AC55" s="120" t="n"/>
      <c r="AD55" s="122" t="inlineStr">
        <is>
          <t>--</t>
        </is>
      </c>
      <c r="AE55" s="120" t="n"/>
      <c r="AF55" s="122" t="inlineStr">
        <is>
          <t>--</t>
        </is>
      </c>
      <c r="AG55" s="75" t="n"/>
      <c r="AH55" s="20" t="n"/>
      <c r="AL55" s="21" t="n"/>
      <c r="AM55" s="79" t="n"/>
      <c r="AN55" s="87" t="n"/>
      <c r="AO55" s="88" t="n"/>
      <c r="AP55" s="88" t="n"/>
      <c r="AQ55" s="88" t="n"/>
      <c r="AR55" s="88" t="n"/>
      <c r="AS55" s="88" t="n"/>
      <c r="AT55" s="88" t="n"/>
      <c r="AU55" s="88" t="n"/>
      <c r="AV55" s="88" t="n"/>
      <c r="AW55" s="88" t="n"/>
      <c r="AX55" s="88" t="n"/>
      <c r="AY55" s="5" t="n"/>
      <c r="AZ55" s="120" t="n"/>
      <c r="BA55" s="122" t="n"/>
      <c r="BB55" s="120" t="n"/>
      <c r="BC55" s="122" t="n"/>
      <c r="BD55" s="75" t="n"/>
      <c r="BE55" s="20" t="n"/>
      <c r="BI55" s="21" t="n"/>
    </row>
    <row r="56" ht="18" customFormat="1" customHeight="1" s="19">
      <c r="A56" s="79" t="n"/>
      <c r="B56" s="87" t="inlineStr">
        <is>
          <t>B (Boro)</t>
        </is>
      </c>
      <c r="C56" s="88" t="n">
        <v>0</v>
      </c>
      <c r="D56" s="88" t="n"/>
      <c r="E56" s="88" t="n"/>
      <c r="F56" s="88" t="n"/>
      <c r="G56" s="88" t="n"/>
      <c r="H56" s="88" t="n"/>
      <c r="I56" s="88" t="n"/>
      <c r="J56" s="88" t="n"/>
      <c r="K56" s="88" t="n"/>
      <c r="L56" s="88" t="n"/>
      <c r="M56" s="88" t="n"/>
      <c r="N56" s="88" t="n"/>
      <c r="O56" s="88" t="n"/>
      <c r="P56" s="88" t="n"/>
      <c r="Q56" s="88" t="n"/>
      <c r="R56" s="88" t="n"/>
      <c r="S56" s="88" t="n"/>
      <c r="T56" s="88" t="n"/>
      <c r="U56" s="88" t="n"/>
      <c r="V56" s="88" t="n"/>
      <c r="W56" s="88" t="n"/>
      <c r="X56" s="88" t="n"/>
      <c r="Y56" s="88">
        <f>Datos!X18</f>
        <v/>
      </c>
      <c r="Z56" s="88" t="n"/>
      <c r="AA56" s="88" t="n"/>
      <c r="AB56" s="5" t="n"/>
      <c r="AC56" s="120" t="n"/>
      <c r="AD56" s="122" t="inlineStr">
        <is>
          <t>--</t>
        </is>
      </c>
      <c r="AE56" s="120" t="n"/>
      <c r="AF56" s="122" t="inlineStr">
        <is>
          <t>--</t>
        </is>
      </c>
      <c r="AG56" s="75" t="n"/>
      <c r="AH56" s="20" t="n"/>
      <c r="AL56" s="21" t="n"/>
      <c r="AM56" s="79" t="n"/>
      <c r="AN56" s="87" t="n"/>
      <c r="AO56" s="88" t="n"/>
      <c r="AP56" s="88" t="n"/>
      <c r="AQ56" s="88" t="n"/>
      <c r="AR56" s="88" t="n"/>
      <c r="AS56" s="88" t="n"/>
      <c r="AT56" s="88" t="n"/>
      <c r="AU56" s="88" t="n"/>
      <c r="AV56" s="88" t="n"/>
      <c r="AW56" s="88" t="n"/>
      <c r="AX56" s="88" t="n"/>
      <c r="AY56" s="5" t="n"/>
      <c r="AZ56" s="120" t="n"/>
      <c r="BA56" s="122" t="n"/>
      <c r="BB56" s="120" t="n"/>
      <c r="BC56" s="122" t="n"/>
      <c r="BD56" s="75" t="n"/>
      <c r="BE56" s="20" t="n"/>
      <c r="BI56" s="21" t="n"/>
    </row>
    <row r="57" ht="18" customFormat="1" customHeight="1" s="19">
      <c r="A57" s="79" t="n"/>
      <c r="B57" s="87" t="inlineStr">
        <is>
          <t>Ba (Bario)</t>
        </is>
      </c>
      <c r="C57" s="88" t="n">
        <v>0</v>
      </c>
      <c r="D57" s="88" t="n"/>
      <c r="E57" s="88" t="n"/>
      <c r="F57" s="88" t="n"/>
      <c r="G57" s="88" t="n"/>
      <c r="H57" s="88" t="n"/>
      <c r="I57" s="88" t="n"/>
      <c r="J57" s="88" t="n"/>
      <c r="K57" s="88" t="n"/>
      <c r="L57" s="88" t="n"/>
      <c r="M57" s="88" t="n"/>
      <c r="N57" s="88" t="n"/>
      <c r="O57" s="88" t="n"/>
      <c r="P57" s="88" t="n"/>
      <c r="Q57" s="88" t="n"/>
      <c r="R57" s="88" t="n"/>
      <c r="S57" s="88" t="n"/>
      <c r="T57" s="88" t="n"/>
      <c r="U57" s="88" t="n"/>
      <c r="V57" s="88" t="n"/>
      <c r="W57" s="88" t="n"/>
      <c r="X57" s="88" t="n"/>
      <c r="Y57" s="88">
        <f>Datos!X20</f>
        <v/>
      </c>
      <c r="Z57" s="88" t="n"/>
      <c r="AA57" s="88" t="n"/>
      <c r="AB57" s="5" t="n"/>
      <c r="AC57" s="120" t="n"/>
      <c r="AD57" s="122" t="inlineStr">
        <is>
          <t>--</t>
        </is>
      </c>
      <c r="AE57" s="120" t="n"/>
      <c r="AF57" s="122" t="inlineStr">
        <is>
          <t>--</t>
        </is>
      </c>
      <c r="AG57" s="75" t="n"/>
      <c r="AH57" s="20" t="n"/>
      <c r="AL57" s="21" t="n"/>
      <c r="AM57" s="79" t="n"/>
      <c r="AN57" s="87" t="n"/>
      <c r="AO57" s="88" t="n"/>
      <c r="AP57" s="88" t="n"/>
      <c r="AQ57" s="88" t="n"/>
      <c r="AR57" s="88" t="n"/>
      <c r="AS57" s="88" t="n"/>
      <c r="AT57" s="88" t="n"/>
      <c r="AU57" s="88" t="n"/>
      <c r="AV57" s="88" t="n"/>
      <c r="AW57" s="88" t="n"/>
      <c r="AX57" s="88" t="n"/>
      <c r="AY57" s="5" t="n"/>
      <c r="AZ57" s="120" t="n"/>
      <c r="BA57" s="122" t="n"/>
      <c r="BB57" s="120" t="n"/>
      <c r="BC57" s="122" t="n"/>
      <c r="BD57" s="75" t="n"/>
      <c r="BE57" s="20" t="n"/>
      <c r="BI57" s="21" t="n"/>
    </row>
    <row r="58" ht="18" customFormat="1" customHeight="1" s="19">
      <c r="A58" s="79" t="n"/>
      <c r="B58" s="87" t="inlineStr">
        <is>
          <t>Ti (Titaniao)</t>
        </is>
      </c>
      <c r="C58" s="88" t="n">
        <v>0</v>
      </c>
      <c r="D58" s="88" t="n"/>
      <c r="E58" s="88" t="n"/>
      <c r="F58" s="88" t="n"/>
      <c r="G58" s="88" t="n"/>
      <c r="H58" s="88" t="n"/>
      <c r="I58" s="88" t="n"/>
      <c r="J58" s="88" t="n"/>
      <c r="K58" s="88" t="n"/>
      <c r="L58" s="88" t="n"/>
      <c r="M58" s="88" t="n"/>
      <c r="N58" s="88" t="n"/>
      <c r="O58" s="88" t="n"/>
      <c r="P58" s="88" t="n"/>
      <c r="Q58" s="88" t="n"/>
      <c r="R58" s="88" t="n"/>
      <c r="S58" s="88" t="n"/>
      <c r="T58" s="88" t="n"/>
      <c r="U58" s="88" t="n"/>
      <c r="V58" s="88" t="n"/>
      <c r="W58" s="88" t="n"/>
      <c r="X58" s="88" t="n"/>
      <c r="Y58" s="88">
        <f>Datos!X19</f>
        <v/>
      </c>
      <c r="Z58" s="88" t="n"/>
      <c r="AA58" s="88" t="n"/>
      <c r="AB58" s="1" t="n"/>
      <c r="AC58" s="120" t="n"/>
      <c r="AD58" s="122" t="inlineStr">
        <is>
          <t>--</t>
        </is>
      </c>
      <c r="AE58" s="120" t="n"/>
      <c r="AF58" s="122" t="inlineStr">
        <is>
          <t>--</t>
        </is>
      </c>
      <c r="AG58" s="75" t="n"/>
      <c r="AH58" s="20" t="n"/>
      <c r="AL58" s="21" t="n"/>
      <c r="AM58" s="79" t="n"/>
      <c r="AN58" s="87" t="n"/>
      <c r="AO58" s="88" t="n"/>
      <c r="AP58" s="88" t="n"/>
      <c r="AQ58" s="88" t="n"/>
      <c r="AR58" s="88" t="n"/>
      <c r="AS58" s="88" t="n"/>
      <c r="AT58" s="88" t="n"/>
      <c r="AU58" s="88" t="n"/>
      <c r="AV58" s="88" t="n"/>
      <c r="AW58" s="88" t="n"/>
      <c r="AX58" s="88" t="n"/>
      <c r="AY58" s="1" t="n"/>
      <c r="AZ58" s="120" t="n"/>
      <c r="BA58" s="122" t="n"/>
      <c r="BB58" s="120" t="n"/>
      <c r="BC58" s="122" t="n"/>
      <c r="BD58" s="75" t="n"/>
      <c r="BE58" s="20" t="n"/>
      <c r="BI58" s="21" t="n"/>
    </row>
    <row r="59" ht="18" customFormat="1" customHeight="1" s="19">
      <c r="A59" s="79" t="n"/>
      <c r="B59" s="87" t="inlineStr">
        <is>
          <t>Ag (Plata)</t>
        </is>
      </c>
      <c r="C59" s="88" t="n">
        <v>0</v>
      </c>
      <c r="D59" s="88" t="n"/>
      <c r="E59" s="88" t="n"/>
      <c r="F59" s="88" t="n"/>
      <c r="G59" s="88" t="n"/>
      <c r="H59" s="88" t="n"/>
      <c r="I59" s="88" t="n"/>
      <c r="J59" s="88" t="n"/>
      <c r="K59" s="88" t="n"/>
      <c r="L59" s="88" t="n"/>
      <c r="M59" s="88" t="n"/>
      <c r="N59" s="88" t="n"/>
      <c r="O59" s="88" t="n"/>
      <c r="P59" s="88" t="n"/>
      <c r="Q59" s="88" t="n"/>
      <c r="R59" s="88" t="n"/>
      <c r="S59" s="88" t="n"/>
      <c r="T59" s="88" t="n"/>
      <c r="U59" s="88" t="n"/>
      <c r="V59" s="88" t="n"/>
      <c r="W59" s="88" t="n"/>
      <c r="X59" s="88" t="n"/>
      <c r="Y59" s="88">
        <f>Datos!X13</f>
        <v/>
      </c>
      <c r="Z59" s="88" t="n"/>
      <c r="AA59" s="88" t="n"/>
      <c r="AB59" s="5" t="n"/>
      <c r="AC59" s="120" t="n"/>
      <c r="AD59" s="122" t="inlineStr">
        <is>
          <t>--</t>
        </is>
      </c>
      <c r="AE59" s="120" t="n"/>
      <c r="AF59" s="122" t="inlineStr">
        <is>
          <t>--</t>
        </is>
      </c>
      <c r="AG59" s="75" t="n"/>
      <c r="AH59" s="20" t="n"/>
      <c r="AL59" s="21" t="n"/>
      <c r="AM59" s="79" t="n"/>
      <c r="AN59" s="87" t="n"/>
      <c r="AO59" s="88" t="n"/>
      <c r="AP59" s="88" t="n"/>
      <c r="AQ59" s="88" t="n"/>
      <c r="AR59" s="88" t="n"/>
      <c r="AS59" s="88" t="n"/>
      <c r="AT59" s="88" t="n"/>
      <c r="AU59" s="88" t="n"/>
      <c r="AV59" s="88" t="n"/>
      <c r="AW59" s="88" t="n"/>
      <c r="AX59" s="88" t="n"/>
      <c r="AY59" s="5" t="n"/>
      <c r="AZ59" s="120" t="n"/>
      <c r="BA59" s="122" t="n"/>
      <c r="BB59" s="120" t="n"/>
      <c r="BC59" s="122" t="n"/>
      <c r="BD59" s="75" t="n"/>
      <c r="BE59" s="20" t="n"/>
      <c r="BI59" s="21" t="n"/>
    </row>
    <row r="60" ht="18" customFormat="1" customHeight="1" s="19">
      <c r="A60" s="79" t="n"/>
      <c r="B60" s="90" t="n"/>
      <c r="C60" s="90" t="n"/>
      <c r="D60" s="90" t="n"/>
      <c r="E60" s="90" t="n"/>
      <c r="F60" s="90" t="n"/>
      <c r="G60" s="90" t="n"/>
      <c r="H60" s="90" t="n"/>
      <c r="I60" s="90" t="n"/>
      <c r="J60" s="90" t="n"/>
      <c r="K60" s="90" t="n"/>
      <c r="L60" s="90" t="n"/>
      <c r="M60" s="90" t="n"/>
      <c r="N60" s="90" t="n"/>
      <c r="O60" s="90" t="n"/>
      <c r="P60" s="90" t="n"/>
      <c r="Q60" s="90" t="n"/>
      <c r="R60" s="90" t="n"/>
      <c r="S60" s="90" t="n"/>
      <c r="T60" s="90" t="n"/>
      <c r="U60" s="90" t="n"/>
      <c r="V60" s="90" t="n"/>
      <c r="W60" s="90" t="n"/>
      <c r="X60" s="90" t="n"/>
      <c r="Y60" s="90" t="n"/>
      <c r="Z60" s="90" t="n"/>
      <c r="AA60" s="90" t="n"/>
      <c r="AC60" s="127" t="n"/>
      <c r="AD60" s="127" t="n"/>
      <c r="AE60" s="127" t="n"/>
      <c r="AF60" s="127" t="n"/>
      <c r="AG60" s="75" t="n"/>
      <c r="AH60" s="20" t="n"/>
      <c r="AL60" s="21" t="n"/>
      <c r="AM60" s="79" t="n"/>
      <c r="AN60" s="90" t="n"/>
      <c r="AO60" s="90" t="n"/>
      <c r="AP60" s="90" t="n"/>
      <c r="AQ60" s="90" t="n"/>
      <c r="AR60" s="90" t="n"/>
      <c r="AS60" s="90" t="n"/>
      <c r="AT60" s="90" t="n"/>
      <c r="AU60" s="90" t="n"/>
      <c r="AV60" s="90" t="n"/>
      <c r="AW60" s="90" t="n"/>
      <c r="AX60" s="90" t="n"/>
      <c r="BD60" s="75" t="n"/>
      <c r="BE60" s="20" t="n"/>
      <c r="BI60" s="21" t="n"/>
    </row>
    <row r="61" ht="18" customFormat="1" customHeight="1" s="19">
      <c r="A61" s="79" t="n"/>
      <c r="B61" s="208" t="inlineStr">
        <is>
          <t>PRESENCIA DE ADITIVOS - PPM (mg/kg)</t>
        </is>
      </c>
      <c r="C61" s="412" t="n"/>
      <c r="D61" s="412" t="n"/>
      <c r="E61" s="412" t="n"/>
      <c r="F61" s="412" t="n"/>
      <c r="G61" s="412" t="n"/>
      <c r="H61" s="412" t="n"/>
      <c r="I61" s="412" t="n"/>
      <c r="J61" s="412" t="n"/>
      <c r="K61" s="412" t="n"/>
      <c r="L61" s="412" t="n"/>
      <c r="M61" s="412" t="n"/>
      <c r="N61" s="412" t="n"/>
      <c r="O61" s="412" t="n"/>
      <c r="P61" s="412" t="n"/>
      <c r="Q61" s="412" t="n"/>
      <c r="R61" s="412" t="n"/>
      <c r="S61" s="412" t="n"/>
      <c r="T61" s="412" t="n"/>
      <c r="U61" s="412" t="n"/>
      <c r="V61" s="412" t="n"/>
      <c r="W61" s="412" t="n"/>
      <c r="X61" s="412" t="n"/>
      <c r="Y61" s="412" t="n"/>
      <c r="Z61" s="412" t="n"/>
      <c r="AA61" s="413" t="n"/>
      <c r="AC61" s="127" t="n"/>
      <c r="AD61" s="127" t="n"/>
      <c r="AE61" s="127" t="n"/>
      <c r="AF61" s="127" t="n"/>
      <c r="AG61" s="75" t="n"/>
      <c r="AH61" s="20" t="n"/>
      <c r="AL61" s="21" t="n"/>
      <c r="AM61" s="79" t="n"/>
      <c r="AN61" s="208" t="n"/>
      <c r="AO61" s="412" t="n"/>
      <c r="AP61" s="412" t="n"/>
      <c r="AQ61" s="412" t="n"/>
      <c r="AR61" s="412" t="n"/>
      <c r="AS61" s="412" t="n"/>
      <c r="AT61" s="412" t="n"/>
      <c r="AU61" s="412" t="n"/>
      <c r="AV61" s="412" t="n"/>
      <c r="AW61" s="412" t="n"/>
      <c r="AX61" s="413" t="n"/>
      <c r="BD61" s="75" t="n"/>
      <c r="BE61" s="20" t="n"/>
      <c r="BI61" s="21" t="n"/>
    </row>
    <row r="62" ht="18" customHeight="1">
      <c r="A62" s="9" t="n"/>
      <c r="B62" s="414" t="n"/>
      <c r="C62" s="415" t="n"/>
      <c r="D62" s="415" t="n"/>
      <c r="E62" s="415" t="n"/>
      <c r="F62" s="415" t="n"/>
      <c r="G62" s="415" t="n"/>
      <c r="H62" s="415" t="n"/>
      <c r="I62" s="415" t="n"/>
      <c r="J62" s="415" t="n"/>
      <c r="K62" s="415" t="n"/>
      <c r="L62" s="415" t="n"/>
      <c r="M62" s="415" t="n"/>
      <c r="N62" s="415" t="n"/>
      <c r="O62" s="415" t="n"/>
      <c r="P62" s="415" t="n"/>
      <c r="Q62" s="415" t="n"/>
      <c r="R62" s="415" t="n"/>
      <c r="S62" s="415" t="n"/>
      <c r="T62" s="415" t="n"/>
      <c r="U62" s="415" t="n"/>
      <c r="V62" s="415" t="n"/>
      <c r="W62" s="415" t="n"/>
      <c r="X62" s="415" t="n"/>
      <c r="Y62" s="415" t="n"/>
      <c r="Z62" s="415" t="n"/>
      <c r="AA62" s="416" t="n"/>
      <c r="AC62" s="127" t="n"/>
      <c r="AD62" s="127" t="n"/>
      <c r="AE62" s="127" t="n"/>
      <c r="AF62" s="127" t="n"/>
      <c r="AG62" s="3" t="n"/>
      <c r="AH62" s="20" t="n"/>
      <c r="AL62" s="21" t="n"/>
      <c r="AM62" s="9" t="n"/>
      <c r="AN62" s="414" t="n"/>
      <c r="AO62" s="415" t="n"/>
      <c r="AP62" s="415" t="n"/>
      <c r="AQ62" s="415" t="n"/>
      <c r="AR62" s="415" t="n"/>
      <c r="AS62" s="415" t="n"/>
      <c r="AT62" s="415" t="n"/>
      <c r="AU62" s="415" t="n"/>
      <c r="AV62" s="415" t="n"/>
      <c r="AW62" s="415" t="n"/>
      <c r="AX62" s="416" t="n"/>
      <c r="BD62" s="3" t="n"/>
      <c r="BE62" s="20" t="n"/>
      <c r="BI62" s="21" t="n"/>
    </row>
    <row r="63" ht="18" customHeight="1">
      <c r="A63" s="9" t="n"/>
      <c r="B63" s="87" t="inlineStr">
        <is>
          <t>Ca (Calcio)</t>
        </is>
      </c>
      <c r="C63" s="88" t="n">
        <v>0</v>
      </c>
      <c r="D63" s="88" t="n"/>
      <c r="E63" s="88" t="n"/>
      <c r="F63" s="88" t="n"/>
      <c r="G63" s="88" t="n"/>
      <c r="H63" s="88" t="n"/>
      <c r="I63" s="88" t="n"/>
      <c r="J63" s="88" t="n"/>
      <c r="K63" s="88" t="n"/>
      <c r="L63" s="88" t="n"/>
      <c r="M63" s="88" t="n"/>
      <c r="N63" s="88" t="n"/>
      <c r="O63" s="88" t="n"/>
      <c r="P63" s="88" t="n"/>
      <c r="Q63" s="88" t="n"/>
      <c r="R63" s="88" t="n"/>
      <c r="S63" s="88" t="n"/>
      <c r="T63" s="88" t="n"/>
      <c r="U63" s="88" t="n"/>
      <c r="V63" s="88" t="n"/>
      <c r="W63" s="88" t="n"/>
      <c r="X63" s="88" t="n"/>
      <c r="Y63" s="88">
        <f>Datos!X8</f>
        <v/>
      </c>
      <c r="Z63" s="88" t="n"/>
      <c r="AA63" s="88" t="n"/>
      <c r="AG63" s="3" t="n"/>
      <c r="AH63" s="20" t="n"/>
      <c r="AL63" s="21" t="n"/>
      <c r="AM63" s="9" t="n"/>
      <c r="AN63" s="87" t="n"/>
      <c r="AO63" s="88" t="n"/>
      <c r="AP63" s="88" t="n"/>
      <c r="AQ63" s="88" t="n"/>
      <c r="AR63" s="88" t="n"/>
      <c r="AS63" s="88" t="n"/>
      <c r="AT63" s="88" t="n"/>
      <c r="AU63" s="88" t="n"/>
      <c r="AV63" s="88" t="n"/>
      <c r="AW63" s="88" t="n"/>
      <c r="AX63" s="88" t="n"/>
      <c r="BD63" s="3" t="n"/>
      <c r="BE63" s="20" t="n"/>
      <c r="BI63" s="21" t="n"/>
    </row>
    <row r="64" ht="18" customHeight="1">
      <c r="A64" s="9" t="n"/>
      <c r="B64" s="87" t="inlineStr">
        <is>
          <t>Mg (Magnesio)</t>
        </is>
      </c>
      <c r="C64" s="88" t="n">
        <v>0</v>
      </c>
      <c r="D64" s="88" t="n"/>
      <c r="E64" s="88" t="n"/>
      <c r="F64" s="88" t="n"/>
      <c r="G64" s="88" t="n"/>
      <c r="H64" s="88" t="n"/>
      <c r="I64" s="88" t="n"/>
      <c r="J64" s="88" t="n"/>
      <c r="K64" s="88" t="n"/>
      <c r="L64" s="88" t="n"/>
      <c r="M64" s="88" t="n"/>
      <c r="N64" s="88" t="n"/>
      <c r="O64" s="88" t="n"/>
      <c r="P64" s="88" t="n"/>
      <c r="Q64" s="88" t="n"/>
      <c r="R64" s="88" t="n"/>
      <c r="S64" s="88" t="n"/>
      <c r="T64" s="88" t="n"/>
      <c r="U64" s="88" t="n"/>
      <c r="V64" s="88" t="n"/>
      <c r="W64" s="88" t="n"/>
      <c r="X64" s="88" t="n"/>
      <c r="Y64" s="88">
        <f>Datos!X9</f>
        <v/>
      </c>
      <c r="Z64" s="88" t="n"/>
      <c r="AA64" s="88" t="n"/>
      <c r="AG64" s="3" t="n"/>
      <c r="AH64" s="20" t="n"/>
      <c r="AL64" s="21" t="n"/>
      <c r="AM64" s="9" t="n"/>
      <c r="AN64" s="87" t="n"/>
      <c r="AO64" s="88" t="n"/>
      <c r="AP64" s="88" t="n"/>
      <c r="AQ64" s="88" t="n"/>
      <c r="AR64" s="88" t="n"/>
      <c r="AS64" s="88" t="n"/>
      <c r="AT64" s="88" t="n"/>
      <c r="AU64" s="88" t="n"/>
      <c r="AV64" s="88" t="n"/>
      <c r="AW64" s="88" t="n"/>
      <c r="AX64" s="88" t="n"/>
      <c r="BD64" s="3" t="n"/>
      <c r="BE64" s="20" t="n"/>
      <c r="BI64" s="21" t="n"/>
    </row>
    <row r="65" ht="18" customHeight="1">
      <c r="A65" s="9" t="n"/>
      <c r="B65" s="87" t="inlineStr">
        <is>
          <t>Zn (Zinc)</t>
        </is>
      </c>
      <c r="C65" s="88" t="n">
        <v>0</v>
      </c>
      <c r="D65" s="88" t="n"/>
      <c r="E65" s="88" t="n"/>
      <c r="F65" s="88" t="n"/>
      <c r="G65" s="88" t="n"/>
      <c r="H65" s="88" t="n"/>
      <c r="I65" s="88" t="n"/>
      <c r="J65" s="88" t="n"/>
      <c r="K65" s="88" t="n"/>
      <c r="L65" s="88" t="n"/>
      <c r="M65" s="88" t="n"/>
      <c r="N65" s="88" t="n"/>
      <c r="O65" s="88" t="n"/>
      <c r="P65" s="88" t="n"/>
      <c r="Q65" s="88" t="n"/>
      <c r="R65" s="88" t="n"/>
      <c r="S65" s="88" t="n"/>
      <c r="T65" s="88" t="n"/>
      <c r="U65" s="88" t="n"/>
      <c r="V65" s="88" t="n"/>
      <c r="W65" s="88" t="n"/>
      <c r="X65" s="88" t="n"/>
      <c r="Y65" s="88">
        <f>Datos!X10</f>
        <v/>
      </c>
      <c r="Z65" s="88" t="n"/>
      <c r="AA65" s="88" t="n"/>
      <c r="AG65" s="3" t="n"/>
      <c r="AH65" s="20" t="n"/>
      <c r="AL65" s="21" t="n"/>
      <c r="AM65" s="9" t="n"/>
      <c r="AN65" s="87" t="n"/>
      <c r="AO65" s="88" t="n"/>
      <c r="AP65" s="88" t="n"/>
      <c r="AQ65" s="88" t="n"/>
      <c r="AR65" s="88" t="n"/>
      <c r="AS65" s="88" t="n"/>
      <c r="AT65" s="88" t="n"/>
      <c r="AU65" s="88" t="n"/>
      <c r="AV65" s="88" t="n"/>
      <c r="AW65" s="88" t="n"/>
      <c r="AX65" s="88" t="n"/>
      <c r="BD65" s="3" t="n"/>
      <c r="BE65" s="20" t="n"/>
      <c r="BI65" s="21" t="n"/>
    </row>
    <row r="66" ht="18" customHeight="1">
      <c r="A66" s="9" t="n"/>
      <c r="B66" s="87" t="inlineStr">
        <is>
          <t>P (Fosforo)</t>
        </is>
      </c>
      <c r="C66" s="88" t="n">
        <v>0</v>
      </c>
      <c r="D66" s="88" t="n"/>
      <c r="E66" s="88" t="n"/>
      <c r="F66" s="88" t="n"/>
      <c r="G66" s="88" t="n"/>
      <c r="H66" s="88" t="n"/>
      <c r="I66" s="88" t="n"/>
      <c r="J66" s="88" t="n"/>
      <c r="K66" s="88" t="n"/>
      <c r="L66" s="88" t="n"/>
      <c r="M66" s="88" t="n"/>
      <c r="N66" s="88" t="n"/>
      <c r="O66" s="88" t="n"/>
      <c r="P66" s="88" t="n"/>
      <c r="Q66" s="88" t="n"/>
      <c r="R66" s="88" t="n"/>
      <c r="S66" s="88" t="n"/>
      <c r="T66" s="88" t="n"/>
      <c r="U66" s="88" t="n"/>
      <c r="V66" s="88" t="n"/>
      <c r="W66" s="88" t="n"/>
      <c r="X66" s="88" t="n"/>
      <c r="Y66" s="88">
        <f>Datos!X11</f>
        <v/>
      </c>
      <c r="Z66" s="88" t="n"/>
      <c r="AA66" s="88" t="n"/>
      <c r="AG66" s="3" t="n"/>
      <c r="AH66" s="20" t="n"/>
      <c r="AL66" s="21" t="n"/>
      <c r="AM66" s="9" t="n"/>
      <c r="AN66" s="87" t="n"/>
      <c r="AO66" s="88" t="n"/>
      <c r="AP66" s="88" t="n"/>
      <c r="AQ66" s="88" t="n"/>
      <c r="AR66" s="88" t="n"/>
      <c r="AS66" s="88" t="n"/>
      <c r="AT66" s="88" t="n"/>
      <c r="AU66" s="88" t="n"/>
      <c r="AV66" s="88" t="n"/>
      <c r="AW66" s="88" t="n"/>
      <c r="AX66" s="88" t="n"/>
      <c r="BD66" s="3" t="n"/>
      <c r="BE66" s="20" t="n"/>
      <c r="BI66" s="21" t="n"/>
    </row>
    <row r="67" ht="18" customHeight="1" thickBot="1">
      <c r="A67" s="11" t="n"/>
      <c r="B67" s="80" t="n"/>
      <c r="C67" s="80" t="n"/>
      <c r="D67" s="80" t="n"/>
      <c r="E67" s="80" t="n"/>
      <c r="F67" s="80" t="n"/>
      <c r="G67" s="80" t="n"/>
      <c r="H67" s="80" t="n"/>
      <c r="I67" s="80" t="n"/>
      <c r="J67" s="80" t="n"/>
      <c r="K67" s="80" t="n"/>
      <c r="L67" s="80" t="n"/>
      <c r="M67" s="80" t="n"/>
      <c r="N67" s="80" t="n"/>
      <c r="O67" s="80" t="n"/>
      <c r="P67" s="80" t="n"/>
      <c r="Q67" s="80" t="n"/>
      <c r="R67" s="80" t="n"/>
      <c r="S67" s="80" t="n"/>
      <c r="T67" s="80" t="n"/>
      <c r="U67" s="80" t="n"/>
      <c r="V67" s="80" t="n"/>
      <c r="W67" s="80" t="n"/>
      <c r="X67" s="80" t="n"/>
      <c r="Y67" s="80" t="n"/>
      <c r="Z67" s="80" t="n"/>
      <c r="AA67" s="80" t="n"/>
      <c r="AB67" s="78" t="n"/>
      <c r="AC67" s="78" t="n"/>
      <c r="AD67" s="73" t="n"/>
      <c r="AE67" s="73" t="n"/>
      <c r="AF67" s="73" t="n"/>
      <c r="AG67" s="4" t="n"/>
      <c r="AH67" s="20" t="n"/>
      <c r="AL67" s="21" t="n"/>
      <c r="AM67" s="11" t="n"/>
      <c r="AN67" s="80" t="n"/>
      <c r="AO67" s="80" t="n"/>
      <c r="AP67" s="80" t="n"/>
      <c r="AQ67" s="80" t="n"/>
      <c r="AR67" s="80" t="n"/>
      <c r="AS67" s="80" t="n"/>
      <c r="AT67" s="80" t="n"/>
      <c r="AU67" s="80" t="n"/>
      <c r="AV67" s="80" t="n"/>
      <c r="AW67" s="80" t="n"/>
      <c r="AX67" s="80" t="n"/>
      <c r="AY67" s="78" t="n"/>
      <c r="AZ67" s="78" t="n"/>
      <c r="BA67" s="73" t="n"/>
      <c r="BB67" s="73" t="n"/>
      <c r="BC67" s="73" t="n"/>
      <c r="BD67" s="4" t="n"/>
      <c r="BE67" s="20" t="n"/>
      <c r="BI67" s="21" t="n"/>
    </row>
    <row r="68">
      <c r="A68" s="10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85" t="n"/>
      <c r="AM68" s="10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  <c r="BI68" s="85" t="n"/>
    </row>
    <row r="69">
      <c r="A69" s="9" t="n"/>
      <c r="B69" s="5" t="inlineStr">
        <is>
          <t>ELABORADO POR:</t>
        </is>
      </c>
      <c r="D69" s="5" t="inlineStr">
        <is>
          <t>REVISADO POR:</t>
        </is>
      </c>
      <c r="E69" s="5" t="n"/>
      <c r="F69" s="5" t="n"/>
      <c r="AL69" s="3" t="n"/>
      <c r="AM69" s="9" t="n"/>
      <c r="AN69" s="5" t="n"/>
      <c r="AP69" s="5" t="n"/>
      <c r="AQ69" s="5" t="n"/>
      <c r="AR69" s="5" t="n"/>
      <c r="BI69" s="3" t="n"/>
    </row>
    <row r="70" ht="42" customHeight="1">
      <c r="A70" s="9" t="n"/>
      <c r="AL70" s="3" t="n"/>
      <c r="AM70" s="9" t="n"/>
      <c r="BI70" s="3" t="n"/>
    </row>
    <row r="71" ht="41.25" customHeight="1" thickBot="1">
      <c r="A71" s="9" t="n"/>
      <c r="B71" s="17" t="n"/>
      <c r="D71" s="17" t="n"/>
      <c r="E71" s="17" t="n"/>
      <c r="F71" s="17" t="n"/>
      <c r="AL71" s="3" t="n"/>
      <c r="AM71" s="9" t="n"/>
      <c r="AN71" s="17" t="n"/>
      <c r="AP71" s="17" t="n"/>
      <c r="AQ71" s="17" t="n"/>
      <c r="AR71" s="17" t="n"/>
      <c r="BI71" s="3" t="n"/>
    </row>
    <row r="72">
      <c r="A72" s="9" t="n"/>
      <c r="B72" s="5" t="inlineStr">
        <is>
          <t>Analista Autorizado</t>
        </is>
      </c>
      <c r="D72" s="5" t="inlineStr">
        <is>
          <t>Jefe de Servicio Post Venta</t>
        </is>
      </c>
      <c r="E72" s="5" t="n"/>
      <c r="F72" s="5" t="n"/>
      <c r="AL72" s="3" t="n"/>
      <c r="AM72" s="9" t="n"/>
      <c r="AN72" s="5" t="n"/>
      <c r="AP72" s="5" t="n"/>
      <c r="AQ72" s="5" t="n"/>
      <c r="AR72" s="5" t="n"/>
      <c r="BI72" s="3" t="n"/>
    </row>
    <row r="73">
      <c r="A73" s="9" t="n"/>
      <c r="B73" s="5" t="inlineStr">
        <is>
          <t>Dpto. Laboratorio</t>
        </is>
      </c>
      <c r="D73" s="5" t="inlineStr">
        <is>
          <t>Dpto. Técnico y Laboratorio</t>
        </is>
      </c>
      <c r="E73" s="5" t="n"/>
      <c r="F73" s="5" t="n"/>
      <c r="AL73" s="3" t="n"/>
      <c r="AM73" s="9" t="n"/>
      <c r="AN73" s="5" t="n"/>
      <c r="AP73" s="5" t="n"/>
      <c r="AQ73" s="5" t="n"/>
      <c r="AR73" s="5" t="n"/>
      <c r="BI73" s="3" t="n"/>
    </row>
    <row r="74" ht="15.75" customHeight="1" thickBot="1">
      <c r="A74" s="9" t="n"/>
      <c r="B74" s="5" t="inlineStr">
        <is>
          <t>Lubricantes Internacionales S.A.</t>
        </is>
      </c>
      <c r="D74" s="5" t="inlineStr">
        <is>
          <t>Lubricantes Internacionales S.A.</t>
        </is>
      </c>
      <c r="E74" s="5" t="n"/>
      <c r="F74" s="5" t="n"/>
      <c r="AL74" s="3" t="n"/>
      <c r="AM74" s="11" t="n"/>
      <c r="AN74" s="86" t="n"/>
      <c r="AO74" s="17" t="n"/>
      <c r="AP74" s="86" t="n"/>
      <c r="AQ74" s="86" t="n"/>
      <c r="AR74" s="86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4" t="n"/>
    </row>
    <row r="75" ht="15.75" customHeight="1" thickBot="1">
      <c r="A75" s="128" t="n"/>
      <c r="B75" s="129" t="inlineStr">
        <is>
          <t>VEN-FOR-006A  VERSION:1 FECHA 2021-SEPT-14</t>
        </is>
      </c>
      <c r="C75" s="130" t="n"/>
      <c r="D75" s="130" t="n"/>
      <c r="E75" s="130" t="n"/>
      <c r="F75" s="130" t="n"/>
      <c r="G75" s="130" t="n"/>
      <c r="H75" s="130" t="n"/>
      <c r="I75" s="130" t="n"/>
      <c r="J75" s="130" t="n"/>
      <c r="K75" s="130" t="n"/>
      <c r="L75" s="130" t="n"/>
      <c r="M75" s="130" t="n"/>
      <c r="N75" s="130" t="n"/>
      <c r="O75" s="130" t="n"/>
      <c r="P75" s="130" t="n"/>
      <c r="Q75" s="130" t="n"/>
      <c r="R75" s="130" t="n"/>
      <c r="S75" s="130" t="n"/>
      <c r="T75" s="130" t="n"/>
      <c r="U75" s="130" t="n"/>
      <c r="V75" s="130" t="n"/>
      <c r="W75" s="130" t="n"/>
      <c r="X75" s="130" t="n"/>
      <c r="Y75" s="130" t="n"/>
      <c r="Z75" s="130" t="n"/>
      <c r="AA75" s="130" t="n"/>
      <c r="AB75" s="130" t="n"/>
      <c r="AC75" s="130" t="n"/>
      <c r="AD75" s="130" t="n"/>
      <c r="AE75" s="130" t="n"/>
      <c r="AF75" s="130" t="n"/>
      <c r="AG75" s="130" t="n"/>
      <c r="AH75" s="130" t="n"/>
      <c r="AI75" s="130" t="n"/>
      <c r="AJ75" s="130" t="n"/>
      <c r="AK75" s="130" t="n"/>
      <c r="AL75" s="139" t="inlineStr">
        <is>
          <t>PÁGINA 1</t>
        </is>
      </c>
      <c r="AM75" s="128" t="n"/>
      <c r="AN75" s="129" t="n"/>
      <c r="AO75" s="130" t="n"/>
      <c r="AP75" s="130" t="n"/>
      <c r="AQ75" s="130" t="n"/>
      <c r="AR75" s="130" t="n"/>
      <c r="AS75" s="130" t="n"/>
      <c r="AT75" s="130" t="n"/>
      <c r="AU75" s="130" t="n"/>
      <c r="AV75" s="130" t="n"/>
      <c r="AW75" s="130" t="n"/>
      <c r="AX75" s="130" t="n"/>
      <c r="AY75" s="130" t="n"/>
      <c r="AZ75" s="130" t="n"/>
      <c r="BA75" s="130" t="n"/>
      <c r="BB75" s="130" t="n"/>
      <c r="BC75" s="130" t="n"/>
      <c r="BD75" s="130" t="n"/>
      <c r="BE75" s="130" t="n"/>
      <c r="BF75" s="130" t="n"/>
      <c r="BG75" s="130" t="n"/>
      <c r="BH75" s="130" t="n"/>
      <c r="BI75" s="139" t="n"/>
    </row>
  </sheetData>
  <mergeCells count="94">
    <mergeCell ref="AC45:AD45"/>
    <mergeCell ref="AE54:AF54"/>
    <mergeCell ref="BB28:BC28"/>
    <mergeCell ref="H3:Z3"/>
    <mergeCell ref="AA2:AG2"/>
    <mergeCell ref="B37:AA38"/>
    <mergeCell ref="AM2:AN8"/>
    <mergeCell ref="AN61:AX62"/>
    <mergeCell ref="H5:Z5"/>
    <mergeCell ref="AN53:AX54"/>
    <mergeCell ref="AZ31:BA31"/>
    <mergeCell ref="AT3:AW3"/>
    <mergeCell ref="AZ30:BC30"/>
    <mergeCell ref="AN37:AX38"/>
    <mergeCell ref="AA6:AG6"/>
    <mergeCell ref="AZ20:BC20"/>
    <mergeCell ref="AX2:BD2"/>
    <mergeCell ref="AT5:AW5"/>
    <mergeCell ref="AN30:AX31"/>
    <mergeCell ref="AA4:AG4"/>
    <mergeCell ref="AZ38:BA38"/>
    <mergeCell ref="AE45:AF45"/>
    <mergeCell ref="AO4:AS8"/>
    <mergeCell ref="H7:Z7"/>
    <mergeCell ref="AC25:AF25"/>
    <mergeCell ref="C2:G3"/>
    <mergeCell ref="AE31:AF31"/>
    <mergeCell ref="AX5:BD5"/>
    <mergeCell ref="B53:AA54"/>
    <mergeCell ref="AE21:AF21"/>
    <mergeCell ref="AA8:AG8"/>
    <mergeCell ref="AX4:BD4"/>
    <mergeCell ref="AT7:AW7"/>
    <mergeCell ref="BE3:BI4"/>
    <mergeCell ref="AO2:AS3"/>
    <mergeCell ref="AX6:BD6"/>
    <mergeCell ref="AC37:AF37"/>
    <mergeCell ref="AM1:BI1"/>
    <mergeCell ref="H4:Z4"/>
    <mergeCell ref="AC54:AD54"/>
    <mergeCell ref="AC30:AF30"/>
    <mergeCell ref="AT8:AW8"/>
    <mergeCell ref="H6:Z6"/>
    <mergeCell ref="BE5:BI8"/>
    <mergeCell ref="AA5:AG5"/>
    <mergeCell ref="AZ21:BA21"/>
    <mergeCell ref="AH2:AL2"/>
    <mergeCell ref="BB21:BC21"/>
    <mergeCell ref="BB45:BC45"/>
    <mergeCell ref="AH3:AL3"/>
    <mergeCell ref="AN9:BA9"/>
    <mergeCell ref="AX8:BD8"/>
    <mergeCell ref="AX3:BD3"/>
    <mergeCell ref="B44:AA45"/>
    <mergeCell ref="H8:Z8"/>
    <mergeCell ref="AZ54:BA54"/>
    <mergeCell ref="BB54:BC54"/>
    <mergeCell ref="AN10:AX11"/>
    <mergeCell ref="AZ37:BC37"/>
    <mergeCell ref="AH4:AL8"/>
    <mergeCell ref="AC38:AD38"/>
    <mergeCell ref="B30:AA31"/>
    <mergeCell ref="AE38:AF38"/>
    <mergeCell ref="BE2:BI2"/>
    <mergeCell ref="AC31:AD31"/>
    <mergeCell ref="AC53:AF53"/>
    <mergeCell ref="AC21:AD21"/>
    <mergeCell ref="AN20:AX21"/>
    <mergeCell ref="AZ25:BC25"/>
    <mergeCell ref="AX7:BD7"/>
    <mergeCell ref="AC44:AF44"/>
    <mergeCell ref="AE26:AF26"/>
    <mergeCell ref="AN44:AX45"/>
    <mergeCell ref="AA3:AG3"/>
    <mergeCell ref="AT2:AW2"/>
    <mergeCell ref="B10:AA11"/>
    <mergeCell ref="AZ45:BA45"/>
    <mergeCell ref="C4:G8"/>
    <mergeCell ref="A1:AL1"/>
    <mergeCell ref="BB38:BC38"/>
    <mergeCell ref="AT6:AW6"/>
    <mergeCell ref="B20:AA21"/>
    <mergeCell ref="AZ44:BC44"/>
    <mergeCell ref="AZ53:BC53"/>
    <mergeCell ref="BB26:BC26"/>
    <mergeCell ref="BB31:BC31"/>
    <mergeCell ref="AE28:AF28"/>
    <mergeCell ref="A2:B8"/>
    <mergeCell ref="AT4:AW4"/>
    <mergeCell ref="B9:AD9"/>
    <mergeCell ref="AC20:AF20"/>
    <mergeCell ref="B61:AA62"/>
    <mergeCell ref="AA7:AG7"/>
    <mergeCell ref="H2:Z2"/>
  </mergeCells>
  <conditionalFormatting sqref="C22">
    <cfRule type="cellIs" priority="137" operator="lessThan" dxfId="0" stopIfTrue="1">
      <formula>$AD$22</formula>
    </cfRule>
    <cfRule type="cellIs" priority="138" operator="greaterThan" dxfId="0" stopIfTrue="1">
      <formula>$AF$22</formula>
    </cfRule>
  </conditionalFormatting>
  <conditionalFormatting sqref="C23">
    <cfRule type="cellIs" priority="136" operator="greaterThan" dxfId="0" stopIfTrue="1">
      <formula>$AF$23</formula>
    </cfRule>
    <cfRule type="cellIs" priority="135" operator="lessThan" dxfId="0" stopIfTrue="1">
      <formula>$AD$23</formula>
    </cfRule>
  </conditionalFormatting>
  <conditionalFormatting sqref="C33 Z33:AA33">
    <cfRule type="cellIs" priority="25" operator="greaterThanOrEqual" dxfId="2" stopIfTrue="1">
      <formula>$AF$33</formula>
    </cfRule>
    <cfRule type="cellIs" priority="26" operator="between" dxfId="0" stopIfTrue="1">
      <formula>$AD$33</formula>
      <formula>$AF$33</formula>
    </cfRule>
  </conditionalFormatting>
  <conditionalFormatting sqref="C34 Z34:AA34">
    <cfRule type="cellIs" priority="27" operator="greaterThanOrEqual" dxfId="2" stopIfTrue="1">
      <formula>$AF$34</formula>
    </cfRule>
    <cfRule type="cellIs" priority="28" operator="between" dxfId="0" stopIfTrue="1">
      <formula>$AD$34</formula>
      <formula>$AF$34</formula>
    </cfRule>
  </conditionalFormatting>
  <conditionalFormatting sqref="C35 Z35:AA35">
    <cfRule type="cellIs" priority="101" operator="greaterThanOrEqual" dxfId="2" stopIfTrue="1">
      <formula>$AF$35</formula>
    </cfRule>
    <cfRule type="cellIs" priority="102" operator="between" dxfId="0" stopIfTrue="1">
      <formula>$AD$35</formula>
      <formula>$AF$35</formula>
    </cfRule>
  </conditionalFormatting>
  <conditionalFormatting sqref="C32:D32 D33:D35 E32:Y35 Z32:AA32">
    <cfRule type="cellIs" priority="185" operator="greaterThanOrEqual" dxfId="2" stopIfTrue="1">
      <formula>$AF$32</formula>
    </cfRule>
    <cfRule type="cellIs" priority="186" operator="between" dxfId="0" stopIfTrue="1">
      <formula>$AD$32</formula>
      <formula>$AF$32</formula>
    </cfRule>
  </conditionalFormatting>
  <conditionalFormatting sqref="C18:AA18">
    <cfRule type="containsText" priority="100" operator="containsText" dxfId="1" stopIfTrue="1" text="NORMAL">
      <formula>NOT(ISERROR(SEARCH("NORMAL",C18)))</formula>
    </cfRule>
    <cfRule type="containsText" priority="99" operator="containsText" dxfId="0" stopIfTrue="1" text="PRECAUCIÓN">
      <formula>NOT(ISERROR(SEARCH("PRECAUCIÓN",C18)))</formula>
    </cfRule>
    <cfRule type="containsText" priority="98" operator="containsText" dxfId="3" stopIfTrue="1" text="N/D">
      <formula>NOT(ISERROR(SEARCH("N/D",C18)))</formula>
    </cfRule>
    <cfRule type="containsText" priority="97" operator="containsText" dxfId="2" stopIfTrue="1" text="ANORMAL">
      <formula>NOT(ISERROR(SEARCH("ANORMAL",C18)))</formula>
    </cfRule>
  </conditionalFormatting>
  <conditionalFormatting sqref="C26:AA26">
    <cfRule type="cellIs" priority="84" operator="equal" dxfId="2" stopIfTrue="1">
      <formula>"POSITIVO"</formula>
    </cfRule>
  </conditionalFormatting>
  <conditionalFormatting sqref="C27:AA27">
    <cfRule type="cellIs" priority="179" operator="greaterThanOrEqual" dxfId="2" stopIfTrue="1">
      <formula>$AF$27</formula>
    </cfRule>
  </conditionalFormatting>
  <conditionalFormatting sqref="C28:AA28">
    <cfRule type="cellIs" priority="81" operator="equal" dxfId="2" stopIfTrue="1">
      <formula>"POSITIVO"</formula>
    </cfRule>
  </conditionalFormatting>
  <conditionalFormatting sqref="C39:AA39">
    <cfRule type="cellIs" priority="152" operator="between" dxfId="0" stopIfTrue="1">
      <formula>$AD$39</formula>
      <formula>$AF$39</formula>
    </cfRule>
    <cfRule type="cellIs" priority="151" operator="greaterThanOrEqual" dxfId="2" stopIfTrue="1">
      <formula>$AF$39</formula>
    </cfRule>
  </conditionalFormatting>
  <conditionalFormatting sqref="C40:AA40">
    <cfRule type="cellIs" priority="149" operator="greaterThanOrEqual" dxfId="2" stopIfTrue="1">
      <formula>$AF$40</formula>
    </cfRule>
    <cfRule type="cellIs" priority="150" operator="between" dxfId="0" stopIfTrue="1">
      <formula>$AD$40</formula>
      <formula>$AF$40</formula>
    </cfRule>
  </conditionalFormatting>
  <conditionalFormatting sqref="C41:AA41">
    <cfRule type="cellIs" priority="147" operator="greaterThanOrEqual" dxfId="2" stopIfTrue="1">
      <formula>$AF$41</formula>
    </cfRule>
    <cfRule type="cellIs" priority="148" operator="between" dxfId="0" stopIfTrue="1">
      <formula>$AD$41</formula>
      <formula>$AF$41</formula>
    </cfRule>
  </conditionalFormatting>
  <conditionalFormatting sqref="C42:AA42">
    <cfRule type="cellIs" priority="88" operator="between" dxfId="0" stopIfTrue="1">
      <formula>$AD$42</formula>
      <formula>$AF$42</formula>
    </cfRule>
    <cfRule type="cellIs" priority="87" operator="greaterThanOrEqual" dxfId="2" stopIfTrue="1">
      <formula>$AF$42</formula>
    </cfRule>
  </conditionalFormatting>
  <conditionalFormatting sqref="C46:AA46">
    <cfRule type="cellIs" priority="89" operator="greaterThanOrEqual" dxfId="2" stopIfTrue="1">
      <formula>$AF$46</formula>
    </cfRule>
    <cfRule type="cellIs" priority="90" operator="between" dxfId="0" stopIfTrue="1">
      <formula>$AD$46</formula>
      <formula>$AF$46</formula>
    </cfRule>
  </conditionalFormatting>
  <conditionalFormatting sqref="C47:AA47">
    <cfRule type="cellIs" priority="171" operator="greaterThanOrEqual" dxfId="2" stopIfTrue="1">
      <formula>$AF$47</formula>
    </cfRule>
    <cfRule type="cellIs" priority="172" operator="between" dxfId="0" stopIfTrue="1">
      <formula>$AD$47</formula>
      <formula>$AF$47</formula>
    </cfRule>
  </conditionalFormatting>
  <conditionalFormatting sqref="C48:AA48">
    <cfRule type="cellIs" priority="173" operator="greaterThanOrEqual" dxfId="2" stopIfTrue="1">
      <formula>$AF$48</formula>
    </cfRule>
    <cfRule type="cellIs" priority="174" operator="between" dxfId="0" stopIfTrue="1">
      <formula>$AD$48</formula>
      <formula>$AF$48</formula>
    </cfRule>
  </conditionalFormatting>
  <conditionalFormatting sqref="C49:AA49">
    <cfRule type="cellIs" priority="169" operator="greaterThanOrEqual" dxfId="2" stopIfTrue="1">
      <formula>$AF$49</formula>
    </cfRule>
    <cfRule type="cellIs" priority="170" operator="between" dxfId="0" stopIfTrue="1">
      <formula>$AD$49</formula>
      <formula>$AF$49</formula>
    </cfRule>
  </conditionalFormatting>
  <conditionalFormatting sqref="C50:AA50">
    <cfRule type="cellIs" priority="155" operator="greaterThanOrEqual" dxfId="2" stopIfTrue="1">
      <formula>$AF$50</formula>
    </cfRule>
    <cfRule type="cellIs" priority="156" operator="between" dxfId="0" stopIfTrue="1">
      <formula>$AD$50</formula>
      <formula>$AF$50</formula>
    </cfRule>
  </conditionalFormatting>
  <conditionalFormatting sqref="C51:AA51">
    <cfRule type="cellIs" priority="153" operator="greaterThanOrEqual" dxfId="2" stopIfTrue="1">
      <formula>$AF$51</formula>
    </cfRule>
    <cfRule type="cellIs" priority="154" operator="between" dxfId="0" stopIfTrue="1">
      <formula>$AD$51</formula>
      <formula>$AF$51</formula>
    </cfRule>
  </conditionalFormatting>
  <conditionalFormatting sqref="C55:AA55">
    <cfRule type="cellIs" priority="145" operator="greaterThanOrEqual" dxfId="2" stopIfTrue="1">
      <formula>$AF$55</formula>
    </cfRule>
  </conditionalFormatting>
  <conditionalFormatting sqref="C56:AA56">
    <cfRule type="cellIs" priority="144" operator="greaterThanOrEqual" dxfId="2" stopIfTrue="1">
      <formula>$AF$56</formula>
    </cfRule>
  </conditionalFormatting>
  <conditionalFormatting sqref="C57:AA57">
    <cfRule type="cellIs" priority="143" operator="greaterThanOrEqual" dxfId="2" stopIfTrue="1">
      <formula>$AF$57</formula>
    </cfRule>
  </conditionalFormatting>
  <conditionalFormatting sqref="C58:AA58">
    <cfRule type="cellIs" priority="139" operator="greaterThanOrEqual" dxfId="2" stopIfTrue="1">
      <formula>$AF$58</formula>
    </cfRule>
  </conditionalFormatting>
  <conditionalFormatting sqref="C59:AA59">
    <cfRule type="cellIs" priority="142" operator="greaterThanOrEqual" dxfId="2" stopIfTrue="1">
      <formula>$AF$59</formula>
    </cfRule>
  </conditionalFormatting>
  <conditionalFormatting sqref="AH3">
    <cfRule type="containsText" priority="2" operator="containsText" dxfId="0" stopIfTrue="1" text="PRECAUCIÓN">
      <formula>NOT(ISERROR(SEARCH("PRECAUCIÓN",AH3)))</formula>
    </cfRule>
    <cfRule type="containsText" priority="3" operator="containsText" dxfId="1" stopIfTrue="1" text="PARÁMETROS NORMALES">
      <formula>NOT(ISERROR(SEARCH("PARÁMETROS NORMALES",AH3)))</formula>
    </cfRule>
    <cfRule type="containsText" priority="4" operator="containsText" dxfId="2" stopIfTrue="1" text="PARÁMETROS ANORMALES">
      <formula>NOT(ISERROR(SEARCH("PARÁMETROS ANORMALES",AH3)))</formula>
    </cfRule>
    <cfRule type="containsText" priority="1" operator="containsText" dxfId="3" stopIfTrue="1" text="SIN EVALUACIÓN">
      <formula>NOT(ISERROR(SEARCH("SIN EVALUACIÓN",AH3)))</formula>
    </cfRule>
  </conditionalFormatting>
  <conditionalFormatting sqref="AO22">
    <cfRule type="cellIs" priority="52" operator="greaterThan" dxfId="0" stopIfTrue="1">
      <formula>$AF$22</formula>
    </cfRule>
    <cfRule type="cellIs" priority="51" operator="lessThan" dxfId="0" stopIfTrue="1">
      <formula>$AD$22</formula>
    </cfRule>
  </conditionalFormatting>
  <conditionalFormatting sqref="AO23">
    <cfRule type="cellIs" priority="50" operator="greaterThan" dxfId="0" stopIfTrue="1">
      <formula>$AF$23</formula>
    </cfRule>
    <cfRule type="cellIs" priority="49" operator="lessThan" dxfId="0" stopIfTrue="1">
      <formula>$AD$23</formula>
    </cfRule>
  </conditionalFormatting>
  <conditionalFormatting sqref="AO18:AX18">
    <cfRule type="containsText" priority="43" operator="containsText" dxfId="2" stopIfTrue="1" text="ANORMAL">
      <formula>NOT(ISERROR(SEARCH("ANORMAL",AO18)))</formula>
    </cfRule>
    <cfRule type="containsText" priority="44" operator="containsText" dxfId="3" stopIfTrue="1" text="N/D">
      <formula>NOT(ISERROR(SEARCH("N/D",AO18)))</formula>
    </cfRule>
    <cfRule type="containsText" priority="45" operator="containsText" dxfId="0" stopIfTrue="1" text="PRECAUCIÓN">
      <formula>NOT(ISERROR(SEARCH("PRECAUCIÓN",AO18)))</formula>
    </cfRule>
    <cfRule type="containsText" priority="46" operator="containsText" dxfId="1" stopIfTrue="1" text="NORMAL">
      <formula>NOT(ISERROR(SEARCH("NORMAL",AO18)))</formula>
    </cfRule>
  </conditionalFormatting>
  <conditionalFormatting sqref="AO26:AX26">
    <cfRule type="cellIs" priority="34" operator="equal" dxfId="2" stopIfTrue="1">
      <formula>"POSITIVO"</formula>
    </cfRule>
  </conditionalFormatting>
  <conditionalFormatting sqref="AO27:AX27">
    <cfRule type="cellIs" priority="74" operator="greaterThanOrEqual" dxfId="2" stopIfTrue="1">
      <formula>$AF$27</formula>
    </cfRule>
  </conditionalFormatting>
  <conditionalFormatting sqref="AO28:AX28">
    <cfRule type="cellIs" priority="33" operator="equal" dxfId="2" stopIfTrue="1">
      <formula>"POSITIVO"</formula>
    </cfRule>
  </conditionalFormatting>
  <conditionalFormatting sqref="AO32:AX32">
    <cfRule type="cellIs" priority="23" operator="greaterThanOrEqual" dxfId="2" stopIfTrue="1">
      <formula>$AF$32</formula>
    </cfRule>
    <cfRule type="cellIs" priority="24" operator="between" dxfId="0" stopIfTrue="1">
      <formula>$AD$32</formula>
      <formula>$AF$32</formula>
    </cfRule>
  </conditionalFormatting>
  <conditionalFormatting sqref="AO33:AX33">
    <cfRule type="cellIs" priority="17" operator="greaterThanOrEqual" dxfId="2" stopIfTrue="1">
      <formula>$AF$33</formula>
    </cfRule>
    <cfRule type="cellIs" priority="18" operator="between" dxfId="0" stopIfTrue="1">
      <formula>$AD$33</formula>
      <formula>$AF$33</formula>
    </cfRule>
  </conditionalFormatting>
  <conditionalFormatting sqref="AO34:AX34">
    <cfRule type="cellIs" priority="20" operator="between" dxfId="0" stopIfTrue="1">
      <formula>$AD$34</formula>
      <formula>$AF$34</formula>
    </cfRule>
    <cfRule type="cellIs" priority="19" operator="greaterThanOrEqual" dxfId="2" stopIfTrue="1">
      <formula>$AF$34</formula>
    </cfRule>
  </conditionalFormatting>
  <conditionalFormatting sqref="AO35:AX35">
    <cfRule type="cellIs" priority="22" operator="between" dxfId="0" stopIfTrue="1">
      <formula>$AD$35</formula>
      <formula>$AF$35</formula>
    </cfRule>
    <cfRule type="cellIs" priority="21" operator="greaterThanOrEqual" dxfId="2" stopIfTrue="1">
      <formula>$AF$35</formula>
    </cfRule>
  </conditionalFormatting>
  <conditionalFormatting sqref="AO39:AX39">
    <cfRule type="cellIs" priority="63" operator="between" dxfId="0" stopIfTrue="1">
      <formula>$AD$39</formula>
      <formula>$AF$39</formula>
    </cfRule>
    <cfRule type="cellIs" priority="62" operator="greaterThanOrEqual" dxfId="2" stopIfTrue="1">
      <formula>$AF$39</formula>
    </cfRule>
  </conditionalFormatting>
  <conditionalFormatting sqref="AO40:AX40">
    <cfRule type="cellIs" priority="61" operator="between" dxfId="0" stopIfTrue="1">
      <formula>$AD$40</formula>
      <formula>$AF$40</formula>
    </cfRule>
    <cfRule type="cellIs" priority="60" operator="greaterThanOrEqual" dxfId="2" stopIfTrue="1">
      <formula>$AF$40</formula>
    </cfRule>
  </conditionalFormatting>
  <conditionalFormatting sqref="AO41:AX41">
    <cfRule type="cellIs" priority="59" operator="between" dxfId="0" stopIfTrue="1">
      <formula>$AD$41</formula>
      <formula>$AF$41</formula>
    </cfRule>
    <cfRule type="cellIs" priority="58" operator="greaterThanOrEqual" dxfId="2" stopIfTrue="1">
      <formula>$AF$41</formula>
    </cfRule>
  </conditionalFormatting>
  <conditionalFormatting sqref="AO42:AX42">
    <cfRule type="cellIs" priority="35" operator="greaterThanOrEqual" dxfId="2" stopIfTrue="1">
      <formula>$AF$42</formula>
    </cfRule>
    <cfRule type="cellIs" priority="36" operator="between" dxfId="0" stopIfTrue="1">
      <formula>$AD$42</formula>
      <formula>$AF$42</formula>
    </cfRule>
  </conditionalFormatting>
  <conditionalFormatting sqref="AO46:AX46">
    <cfRule type="cellIs" priority="37" operator="greaterThanOrEqual" dxfId="2" stopIfTrue="1">
      <formula>$AF$46</formula>
    </cfRule>
    <cfRule type="cellIs" priority="38" operator="between" dxfId="0" stopIfTrue="1">
      <formula>$AD$46</formula>
      <formula>$AF$46</formula>
    </cfRule>
  </conditionalFormatting>
  <conditionalFormatting sqref="AO47:AX47">
    <cfRule type="cellIs" priority="71" operator="between" dxfId="0" stopIfTrue="1">
      <formula>$AD$47</formula>
      <formula>$AF$47</formula>
    </cfRule>
    <cfRule type="cellIs" priority="70" operator="greaterThanOrEqual" dxfId="2" stopIfTrue="1">
      <formula>$AF$47</formula>
    </cfRule>
  </conditionalFormatting>
  <conditionalFormatting sqref="AO48:AX48">
    <cfRule type="cellIs" priority="72" operator="greaterThanOrEqual" dxfId="2" stopIfTrue="1">
      <formula>$AF$48</formula>
    </cfRule>
    <cfRule type="cellIs" priority="73" operator="between" dxfId="0" stopIfTrue="1">
      <formula>$AD$48</formula>
      <formula>$AF$48</formula>
    </cfRule>
  </conditionalFormatting>
  <conditionalFormatting sqref="AO49:AX49">
    <cfRule type="cellIs" priority="69" operator="between" dxfId="0" stopIfTrue="1">
      <formula>$AD$49</formula>
      <formula>$AF$49</formula>
    </cfRule>
    <cfRule type="cellIs" priority="68" operator="greaterThanOrEqual" dxfId="2" stopIfTrue="1">
      <formula>$AF$49</formula>
    </cfRule>
  </conditionalFormatting>
  <conditionalFormatting sqref="AO50:AX50">
    <cfRule type="cellIs" priority="66" operator="greaterThanOrEqual" dxfId="2" stopIfTrue="1">
      <formula>$AF$50</formula>
    </cfRule>
    <cfRule type="cellIs" priority="67" operator="between" dxfId="0" stopIfTrue="1">
      <formula>$AD$50</formula>
      <formula>$AF$50</formula>
    </cfRule>
  </conditionalFormatting>
  <conditionalFormatting sqref="AO51:AX51">
    <cfRule type="cellIs" priority="64" operator="greaterThanOrEqual" dxfId="2" stopIfTrue="1">
      <formula>$AF$51</formula>
    </cfRule>
    <cfRule type="cellIs" priority="65" operator="between" dxfId="0" stopIfTrue="1">
      <formula>$AD$51</formula>
      <formula>$AF$51</formula>
    </cfRule>
  </conditionalFormatting>
  <conditionalFormatting sqref="AO55:AX55">
    <cfRule type="cellIs" priority="57" operator="greaterThanOrEqual" dxfId="2" stopIfTrue="1">
      <formula>$AF$55</formula>
    </cfRule>
  </conditionalFormatting>
  <conditionalFormatting sqref="AO56:AX56">
    <cfRule type="cellIs" priority="56" operator="greaterThanOrEqual" dxfId="2" stopIfTrue="1">
      <formula>$AF$56</formula>
    </cfRule>
  </conditionalFormatting>
  <conditionalFormatting sqref="AO57:AX57">
    <cfRule type="cellIs" priority="55" operator="greaterThanOrEqual" dxfId="2" stopIfTrue="1">
      <formula>$AF$57</formula>
    </cfRule>
  </conditionalFormatting>
  <conditionalFormatting sqref="AO58:AX58">
    <cfRule type="cellIs" priority="53" operator="greaterThanOrEqual" dxfId="2" stopIfTrue="1">
      <formula>$AF$58</formula>
    </cfRule>
  </conditionalFormatting>
  <conditionalFormatting sqref="AO59:AX59">
    <cfRule type="cellIs" priority="54" operator="greaterThanOrEqual" dxfId="2" stopIfTrue="1">
      <formula>$AF$59</formula>
    </cfRule>
  </conditionalFormatting>
  <conditionalFormatting sqref="BE3">
    <cfRule type="containsText" priority="32" operator="containsText" dxfId="2" stopIfTrue="1" text="PARÁMETROS ANORMALES">
      <formula>NOT(ISERROR(SEARCH("PARÁMETROS ANORMALES",BE3)))</formula>
    </cfRule>
    <cfRule type="containsText" priority="31" operator="containsText" dxfId="1" stopIfTrue="1" text="PARÁMETROS NORMALES">
      <formula>NOT(ISERROR(SEARCH("PARÁMETROS NORMALES",BE3)))</formula>
    </cfRule>
    <cfRule type="containsText" priority="30" operator="containsText" dxfId="0" stopIfTrue="1" text="PRECAUCIÓN">
      <formula>NOT(ISERROR(SEARCH("PRECAUCIÓN",BE3)))</formula>
    </cfRule>
    <cfRule type="containsText" priority="29" operator="containsText" dxfId="3" stopIfTrue="1" text="SIN EVALUACIÓN">
      <formula>NOT(ISERROR(SEARCH("SIN EVALUACIÓN",BE3)))</formula>
    </cfRule>
  </conditionalFormatting>
  <dataValidations count="4">
    <dataValidation sqref="AH3 BE3" showDropDown="0" showInputMessage="1" showErrorMessage="1" allowBlank="1" type="list">
      <formula1>"PARÁMETROS NORMALES,PRECAUCIÓN,PARÁMETROS ANORMALES,SIN EVALUACIÓN"</formula1>
    </dataValidation>
    <dataValidation sqref="AA2 AX2" showDropDown="0" showInputMessage="1" showErrorMessage="1" allowBlank="1" error="PARAMETROS FUERA DEL LIMITE CONDENATORIO_x000a_"/>
    <dataValidation sqref="C18:AA18 AO18:AX18" showDropDown="0" showInputMessage="1" showErrorMessage="1" allowBlank="1" type="list">
      <formula1>"NORMAL,PRECAUCIÓN,ANORMAL,N/D"</formula1>
    </dataValidation>
    <dataValidation sqref="C26:AA26 C28:AA28 AO26:AX26 AO28:AX28" showDropDown="0" showInputMessage="1" showErrorMessage="1" allowBlank="1" type="list">
      <formula1>"NEGATIVO, POSITIVO"</formula1>
    </dataValidation>
  </dataValidations>
  <printOptions horizontalCentered="1" verticalCentered="1"/>
  <pageMargins left="0" right="0" top="0" bottom="0" header="0" footer="0"/>
  <pageSetup orientation="landscape" paperSize="9" scale="27"/>
  <colBreaks count="1" manualBreakCount="1">
    <brk id="38" min="0" max="74" man="1"/>
  </colBreaks>
</worksheet>
</file>

<file path=xl/worksheets/sheet2.xml><?xml version="1.0" encoding="utf-8"?>
<worksheet xmlns="http://schemas.openxmlformats.org/spreadsheetml/2006/main">
  <sheetPr>
    <tabColor theme="8" tint="-0.249977111117893"/>
    <outlinePr summaryBelow="1" summaryRight="1"/>
    <pageSetUpPr fitToPage="1"/>
  </sheetPr>
  <dimension ref="A1:AH75"/>
  <sheetViews>
    <sheetView showGridLines="0" view="pageBreakPreview" topLeftCell="A54" zoomScale="70" zoomScaleNormal="100" zoomScaleSheetLayoutView="70" workbookViewId="0">
      <selection activeCell="B84" sqref="B84"/>
    </sheetView>
  </sheetViews>
  <sheetFormatPr baseColWidth="10" defaultRowHeight="12"/>
  <cols>
    <col width="3.5703125" customWidth="1" style="140" min="1" max="1"/>
    <col width="37.7109375" customWidth="1" style="140" min="2" max="2"/>
    <col width="14.85546875" customWidth="1" style="140" min="3" max="12"/>
    <col width="2.140625" customWidth="1" style="140" min="13" max="13"/>
    <col width="4" customWidth="1" style="140" min="14" max="14"/>
    <col width="6.85546875" customWidth="1" style="140" min="15" max="15"/>
    <col width="4.140625" customWidth="1" style="140" min="16" max="16"/>
    <col width="6.7109375" customWidth="1" style="140" min="17" max="17"/>
    <col width="6.5703125" customWidth="1" style="140" min="18" max="18"/>
    <col width="22.42578125" customWidth="1" style="140" min="19" max="19"/>
    <col width="15.28515625" customWidth="1" style="140" min="20" max="23"/>
    <col width="11.42578125" customWidth="1" style="140" min="24" max="16384"/>
  </cols>
  <sheetData>
    <row r="1" ht="27.95" customHeight="1" thickBot="1">
      <c r="A1" s="424" t="inlineStr">
        <is>
          <t>REPORTE DE ANÁLISIS DE LUBRICANTE</t>
        </is>
      </c>
      <c r="B1" s="425" t="n"/>
      <c r="C1" s="425" t="n"/>
      <c r="D1" s="425" t="n"/>
      <c r="E1" s="425" t="n"/>
      <c r="F1" s="425" t="n"/>
      <c r="G1" s="425" t="n"/>
      <c r="H1" s="425" t="n"/>
      <c r="I1" s="425" t="n"/>
      <c r="J1" s="425" t="n"/>
      <c r="K1" s="425" t="n"/>
      <c r="L1" s="425" t="n"/>
      <c r="M1" s="425" t="n"/>
      <c r="N1" s="425" t="n"/>
      <c r="O1" s="425" t="n"/>
      <c r="P1" s="425" t="n"/>
      <c r="Q1" s="425" t="n"/>
      <c r="R1" s="425" t="n"/>
      <c r="S1" s="425" t="n"/>
      <c r="T1" s="425" t="n"/>
      <c r="U1" s="425" t="n"/>
      <c r="V1" s="425" t="n"/>
      <c r="W1" s="426" t="n"/>
    </row>
    <row r="2" ht="24" customHeight="1" thickBot="1">
      <c r="A2" s="427" t="n"/>
      <c r="B2" s="428" t="n"/>
      <c r="C2" s="429" t="inlineStr">
        <is>
          <t>NOMBRE DEL CLIENTE:</t>
        </is>
      </c>
      <c r="D2" s="430" t="n"/>
      <c r="E2" s="430" t="n"/>
      <c r="F2" s="430" t="n"/>
      <c r="G2" s="428" t="n"/>
      <c r="H2" s="311" t="inlineStr">
        <is>
          <t>Compartimento:</t>
        </is>
      </c>
      <c r="I2" s="431" t="n"/>
      <c r="J2" s="431" t="n"/>
      <c r="K2" s="432" t="n"/>
      <c r="L2" s="328">
        <f>Datos!A97</f>
        <v/>
      </c>
      <c r="M2" s="431" t="n"/>
      <c r="N2" s="431" t="n"/>
      <c r="O2" s="431" t="n"/>
      <c r="P2" s="431" t="n"/>
      <c r="Q2" s="431" t="n"/>
      <c r="R2" s="432" t="n"/>
      <c r="S2" s="433" t="inlineStr">
        <is>
          <t>Diagnóstico de la última muestra:</t>
        </is>
      </c>
      <c r="T2" s="425" t="n"/>
      <c r="U2" s="425" t="n"/>
      <c r="V2" s="425" t="n"/>
      <c r="W2" s="426" t="n"/>
      <c r="X2" s="141" t="n"/>
      <c r="Y2" s="141" t="n"/>
      <c r="Z2" s="141" t="n"/>
      <c r="AA2" s="141" t="inlineStr">
        <is>
          <t>INDUSTRTIAL</t>
        </is>
      </c>
      <c r="AB2" s="141" t="n"/>
    </row>
    <row r="3" ht="24" customHeight="1">
      <c r="A3" s="151" t="n"/>
      <c r="B3" s="434" t="n"/>
      <c r="C3" s="435" t="n"/>
      <c r="D3" s="141" t="n"/>
      <c r="E3" s="141" t="n"/>
      <c r="F3" s="141" t="n"/>
      <c r="G3" s="434" t="n"/>
      <c r="H3" s="317" t="inlineStr">
        <is>
          <t>Equipo:</t>
        </is>
      </c>
      <c r="I3" s="436" t="n"/>
      <c r="J3" s="436" t="n"/>
      <c r="K3" s="437" t="n"/>
      <c r="L3" s="210">
        <f>MOTOR!AA3</f>
        <v/>
      </c>
      <c r="M3" s="399" t="n"/>
      <c r="N3" s="399" t="n"/>
      <c r="O3" s="399" t="n"/>
      <c r="P3" s="399" t="n"/>
      <c r="Q3" s="399" t="n"/>
      <c r="R3" s="400" t="n"/>
      <c r="S3" s="438" t="inlineStr">
        <is>
          <t>SIN EVALUACIÓN</t>
        </is>
      </c>
      <c r="T3" s="430" t="n"/>
      <c r="U3" s="430" t="n"/>
      <c r="V3" s="430" t="n"/>
      <c r="W3" s="439" t="n"/>
      <c r="X3" s="141" t="n"/>
      <c r="Y3" s="141" t="n"/>
      <c r="Z3" s="141" t="n"/>
      <c r="AA3" s="141" t="inlineStr">
        <is>
          <t>UG 00</t>
        </is>
      </c>
      <c r="AB3" s="141" t="n"/>
      <c r="AH3" t="inlineStr">
        <is>
          <t>SIN EVALUACION</t>
        </is>
      </c>
    </row>
    <row r="4" ht="24" customHeight="1" thickBot="1">
      <c r="A4" s="151" t="n"/>
      <c r="B4" s="434" t="n"/>
      <c r="C4" s="404" t="inlineStr">
        <is>
          <t>JUSTICE COMPANY</t>
        </is>
      </c>
      <c r="G4" s="397" t="n"/>
      <c r="H4" s="317" t="inlineStr">
        <is>
          <t>Marca:</t>
        </is>
      </c>
      <c r="I4" s="436" t="n"/>
      <c r="J4" s="436" t="n"/>
      <c r="K4" s="437" t="n"/>
      <c r="L4" s="210">
        <f>MOTOR!AA4</f>
        <v/>
      </c>
      <c r="M4" s="399" t="n"/>
      <c r="N4" s="399" t="n"/>
      <c r="O4" s="399" t="n"/>
      <c r="P4" s="399" t="n"/>
      <c r="Q4" s="399" t="n"/>
      <c r="R4" s="400" t="n"/>
      <c r="S4" s="440" t="n"/>
      <c r="T4" s="187" t="n"/>
      <c r="U4" s="187" t="n"/>
      <c r="V4" s="187" t="n"/>
      <c r="W4" s="441" t="n"/>
      <c r="X4" s="141" t="n"/>
      <c r="Y4" s="141" t="n"/>
      <c r="Z4" s="141" t="n"/>
      <c r="AA4" s="141" t="inlineStr">
        <is>
          <t>MARCA EQUIPO</t>
        </is>
      </c>
      <c r="AB4" s="141" t="n"/>
    </row>
    <row r="5" ht="24" customHeight="1">
      <c r="A5" s="151" t="n"/>
      <c r="B5" s="434" t="n"/>
      <c r="C5" s="398" t="n"/>
      <c r="G5" s="397" t="n"/>
      <c r="H5" s="317" t="inlineStr">
        <is>
          <t>Serie:</t>
        </is>
      </c>
      <c r="I5" s="436" t="n"/>
      <c r="J5" s="436" t="n"/>
      <c r="K5" s="437" t="n"/>
      <c r="L5" s="210">
        <f>MOTOR!AA5</f>
        <v/>
      </c>
      <c r="M5" s="399" t="n"/>
      <c r="N5" s="399" t="n"/>
      <c r="O5" s="399" t="n"/>
      <c r="P5" s="399" t="n"/>
      <c r="Q5" s="399" t="n"/>
      <c r="R5" s="400" t="n"/>
      <c r="S5" s="442" t="n"/>
      <c r="T5" s="430" t="n"/>
      <c r="U5" s="430" t="n"/>
      <c r="V5" s="430" t="n"/>
      <c r="W5" s="439" t="n"/>
      <c r="X5" s="141" t="n"/>
      <c r="Y5" s="141" t="n"/>
      <c r="Z5" s="141" t="n"/>
      <c r="AA5" s="141" t="inlineStr">
        <is>
          <t>SERIE</t>
        </is>
      </c>
      <c r="AB5" s="141" t="n"/>
    </row>
    <row r="6" ht="24" customHeight="1">
      <c r="A6" s="151" t="n"/>
      <c r="B6" s="434" t="n"/>
      <c r="C6" s="398" t="n"/>
      <c r="G6" s="397" t="n"/>
      <c r="H6" s="317" t="inlineStr">
        <is>
          <t>Modelo:</t>
        </is>
      </c>
      <c r="I6" s="436" t="n"/>
      <c r="J6" s="436" t="n"/>
      <c r="K6" s="437" t="n"/>
      <c r="L6" s="210">
        <f>MOTOR!AA6</f>
        <v/>
      </c>
      <c r="M6" s="399" t="n"/>
      <c r="N6" s="399" t="n"/>
      <c r="O6" s="399" t="n"/>
      <c r="P6" s="399" t="n"/>
      <c r="Q6" s="399" t="n"/>
      <c r="R6" s="400" t="n"/>
      <c r="S6" s="151" t="n"/>
      <c r="T6" s="141" t="n"/>
      <c r="U6" s="141" t="n"/>
      <c r="V6" s="141" t="n"/>
      <c r="W6" s="152" t="n"/>
      <c r="X6" s="141" t="n"/>
      <c r="Y6" s="141" t="n"/>
      <c r="Z6" s="141" t="n"/>
      <c r="AA6" s="141" t="inlineStr">
        <is>
          <t>MODELO</t>
        </is>
      </c>
      <c r="AB6" s="141" t="n"/>
    </row>
    <row r="7" ht="24" customHeight="1">
      <c r="A7" s="151" t="n"/>
      <c r="B7" s="434" t="n"/>
      <c r="C7" s="398" t="n"/>
      <c r="G7" s="397" t="n"/>
      <c r="H7" s="317" t="inlineStr">
        <is>
          <t>Lubricante:</t>
        </is>
      </c>
      <c r="I7" s="436" t="n"/>
      <c r="J7" s="436" t="n"/>
      <c r="K7" s="437" t="n"/>
      <c r="L7" s="330" t="n"/>
      <c r="M7" s="436" t="n"/>
      <c r="N7" s="436" t="n"/>
      <c r="O7" s="436" t="n"/>
      <c r="P7" s="436" t="n"/>
      <c r="Q7" s="436" t="n"/>
      <c r="R7" s="437" t="n"/>
      <c r="S7" s="151" t="n"/>
      <c r="T7" s="141" t="n"/>
      <c r="U7" s="141" t="n"/>
      <c r="V7" s="141" t="n"/>
      <c r="W7" s="152" t="n"/>
      <c r="X7" s="141" t="n"/>
      <c r="Y7" s="141" t="n"/>
      <c r="Z7" s="141" t="n"/>
      <c r="AA7" s="141" t="inlineStr">
        <is>
          <t>15W40</t>
        </is>
      </c>
      <c r="AB7" s="141" t="n"/>
    </row>
    <row r="8" ht="24" customHeight="1" thickBot="1">
      <c r="A8" s="440" t="n"/>
      <c r="B8" s="443" t="n"/>
      <c r="C8" s="409" t="n"/>
      <c r="D8" s="73" t="n"/>
      <c r="E8" s="73" t="n"/>
      <c r="F8" s="73" t="n"/>
      <c r="G8" s="408" t="n"/>
      <c r="H8" s="283" t="inlineStr">
        <is>
          <t xml:space="preserve">Marca del Lubricante: </t>
        </is>
      </c>
      <c r="I8" s="444" t="n"/>
      <c r="J8" s="444" t="n"/>
      <c r="K8" s="445" t="n"/>
      <c r="L8" s="326" t="n"/>
      <c r="M8" s="444" t="n"/>
      <c r="N8" s="444" t="n"/>
      <c r="O8" s="444" t="n"/>
      <c r="P8" s="444" t="n"/>
      <c r="Q8" s="444" t="n"/>
      <c r="R8" s="445" t="n"/>
      <c r="S8" s="440" t="n"/>
      <c r="T8" s="187" t="n"/>
      <c r="U8" s="187" t="n"/>
      <c r="V8" s="187" t="n"/>
      <c r="W8" s="441" t="n"/>
      <c r="X8" s="141" t="n"/>
      <c r="Y8" s="141" t="n"/>
      <c r="Z8" s="141" t="n"/>
      <c r="AA8" s="141" t="inlineStr">
        <is>
          <t>GULF</t>
        </is>
      </c>
      <c r="AB8" s="141" t="n"/>
    </row>
    <row r="9" ht="15.75" customHeight="1">
      <c r="A9" s="142" t="n"/>
      <c r="B9" s="286" t="n"/>
      <c r="C9" s="141" t="n"/>
      <c r="D9" s="141" t="n"/>
      <c r="E9" s="141" t="n"/>
      <c r="F9" s="141" t="n"/>
      <c r="G9" s="141" t="n"/>
      <c r="H9" s="141" t="n"/>
      <c r="I9" s="141" t="n"/>
      <c r="J9" s="141" t="n"/>
      <c r="K9" s="141" t="n"/>
      <c r="L9" s="141" t="n"/>
      <c r="M9" s="141" t="n"/>
      <c r="N9" s="141" t="n"/>
      <c r="O9" s="141" t="n"/>
      <c r="P9" s="286" t="n"/>
      <c r="Q9" s="144" t="n"/>
      <c r="R9" s="145" t="n"/>
      <c r="S9" s="146" t="n"/>
      <c r="T9" s="147" t="n"/>
      <c r="U9" s="147" t="n"/>
      <c r="V9" s="147" t="n"/>
      <c r="W9" s="148" t="n"/>
      <c r="X9" s="141" t="n"/>
      <c r="Y9" s="141" t="n"/>
      <c r="Z9" s="141" t="n"/>
      <c r="AA9" s="141" t="n"/>
      <c r="AB9" s="141" t="n"/>
    </row>
    <row r="10" ht="15.75" customHeight="1">
      <c r="A10" s="142" t="n"/>
      <c r="B10" s="275" t="inlineStr">
        <is>
          <t>INFORMACIÓN DE LA MUESTRA</t>
        </is>
      </c>
      <c r="C10" s="446" t="n"/>
      <c r="D10" s="446" t="n"/>
      <c r="E10" s="446" t="n"/>
      <c r="F10" s="446" t="n"/>
      <c r="G10" s="446" t="n"/>
      <c r="H10" s="446" t="n"/>
      <c r="I10" s="446" t="n"/>
      <c r="J10" s="446" t="n"/>
      <c r="K10" s="446" t="n"/>
      <c r="L10" s="447" t="n"/>
      <c r="M10" s="144" t="n"/>
      <c r="N10" s="144" t="n"/>
      <c r="O10" s="144" t="n"/>
      <c r="P10" s="144" t="n"/>
      <c r="Q10" s="144" t="n"/>
      <c r="R10" s="145" t="n"/>
      <c r="S10" s="146" t="n"/>
      <c r="T10" s="147" t="n"/>
      <c r="U10" s="147" t="n"/>
      <c r="V10" s="147" t="n"/>
      <c r="W10" s="148" t="n"/>
      <c r="X10" s="141" t="n"/>
      <c r="Y10" s="141" t="n"/>
      <c r="Z10" s="141" t="n"/>
      <c r="AA10" s="141" t="n"/>
      <c r="AB10" s="141" t="n"/>
    </row>
    <row r="11" ht="15" customHeight="1">
      <c r="A11" s="142" t="n"/>
      <c r="B11" s="448" t="n"/>
      <c r="C11" s="449" t="n"/>
      <c r="D11" s="449" t="n"/>
      <c r="E11" s="449" t="n"/>
      <c r="F11" s="449" t="n"/>
      <c r="G11" s="449" t="n"/>
      <c r="H11" s="449" t="n"/>
      <c r="I11" s="449" t="n"/>
      <c r="J11" s="449" t="n"/>
      <c r="K11" s="449" t="n"/>
      <c r="L11" s="450" t="n"/>
      <c r="M11" s="149" t="n"/>
      <c r="N11" s="149" t="n"/>
      <c r="O11" s="149" t="n"/>
      <c r="P11" s="149" t="n"/>
      <c r="Q11" s="149" t="n"/>
      <c r="R11" s="150" t="n"/>
      <c r="S11" s="151" t="n"/>
      <c r="T11" s="141" t="n"/>
      <c r="U11" s="141" t="n"/>
      <c r="V11" s="141" t="n"/>
      <c r="W11" s="152" t="n"/>
      <c r="X11" s="141" t="n"/>
      <c r="Y11" s="141" t="n"/>
      <c r="Z11" s="141" t="n"/>
      <c r="AA11" s="141" t="n"/>
      <c r="AB11" s="141" t="n"/>
    </row>
    <row r="12" ht="18" customHeight="1">
      <c r="A12" s="142" t="n"/>
      <c r="B12" s="153" t="inlineStr">
        <is>
          <t>Numeración de Muestra</t>
        </is>
      </c>
      <c r="C12" s="154" t="inlineStr">
        <is>
          <t>MUESTRA-001</t>
        </is>
      </c>
      <c r="D12" s="154" t="n"/>
      <c r="E12" s="154" t="n"/>
      <c r="F12" s="154" t="n"/>
      <c r="G12" s="154" t="n"/>
      <c r="H12" s="154" t="n"/>
      <c r="I12" s="154" t="n"/>
      <c r="J12" s="154" t="n"/>
      <c r="K12" s="154" t="n"/>
      <c r="L12" s="154" t="n"/>
      <c r="R12" s="155" t="n"/>
      <c r="S12" s="151" t="n"/>
      <c r="T12" s="141" t="n"/>
      <c r="U12" s="141" t="n"/>
      <c r="V12" s="141" t="n"/>
      <c r="W12" s="152" t="n"/>
      <c r="X12" s="141" t="n"/>
      <c r="Y12" s="141" t="n"/>
      <c r="Z12" s="141" t="n"/>
      <c r="AA12" s="141" t="n"/>
      <c r="AB12" s="141" t="n"/>
    </row>
    <row r="13" ht="18" customHeight="1">
      <c r="A13" s="142" t="n"/>
      <c r="B13" s="153" t="inlineStr">
        <is>
          <t>Fecha de Muestreo</t>
        </is>
      </c>
      <c r="C13" s="451" t="inlineStr">
        <is>
          <t>2026-03-28</t>
        </is>
      </c>
      <c r="D13" s="451" t="n"/>
      <c r="E13" s="451" t="n"/>
      <c r="F13" s="451" t="n"/>
      <c r="G13" s="451" t="n"/>
      <c r="H13" s="451" t="n"/>
      <c r="I13" s="451" t="n"/>
      <c r="J13" s="451" t="n"/>
      <c r="K13" s="451" t="n"/>
      <c r="L13" s="451" t="n"/>
      <c r="R13" s="155" t="n"/>
      <c r="S13" s="151" t="n"/>
      <c r="T13" s="141" t="n"/>
      <c r="U13" s="141" t="n"/>
      <c r="V13" s="141" t="n"/>
      <c r="W13" s="152" t="n"/>
      <c r="X13" s="141" t="n"/>
      <c r="Y13" s="141" t="n"/>
      <c r="Z13" s="141" t="n"/>
      <c r="AA13" s="141" t="n"/>
      <c r="AB13" s="141" t="n"/>
    </row>
    <row r="14" ht="15.75" customHeight="1">
      <c r="A14" s="142" t="n"/>
      <c r="B14" s="153" t="inlineStr">
        <is>
          <t>Fecha de Ingreso</t>
        </is>
      </c>
      <c r="C14" s="451" t="inlineStr">
        <is>
          <t>2026-03-29</t>
        </is>
      </c>
      <c r="D14" s="451" t="n"/>
      <c r="E14" s="451" t="n"/>
      <c r="F14" s="451" t="n"/>
      <c r="G14" s="451" t="n"/>
      <c r="H14" s="451" t="n"/>
      <c r="I14" s="451" t="n"/>
      <c r="J14" s="451" t="n"/>
      <c r="K14" s="451" t="n"/>
      <c r="L14" s="451" t="n"/>
      <c r="R14" s="155" t="n"/>
      <c r="S14" s="151" t="n"/>
      <c r="T14" s="141" t="n"/>
      <c r="U14" s="141" t="n"/>
      <c r="V14" s="141" t="n"/>
      <c r="W14" s="152" t="n"/>
      <c r="X14" s="141" t="n"/>
      <c r="Y14" s="141" t="n"/>
      <c r="Z14" s="141" t="n"/>
      <c r="AA14" s="141" t="n"/>
      <c r="AB14" s="141" t="n"/>
    </row>
    <row r="15" ht="18" customHeight="1">
      <c r="A15" s="142" t="n"/>
      <c r="B15" s="153" t="inlineStr">
        <is>
          <t>Fecha de Informe</t>
        </is>
      </c>
      <c r="C15" s="451" t="inlineStr">
        <is>
          <t>2026-03-30</t>
        </is>
      </c>
      <c r="D15" s="451" t="n"/>
      <c r="E15" s="451" t="n"/>
      <c r="F15" s="451" t="n"/>
      <c r="G15" s="451" t="n"/>
      <c r="H15" s="451" t="n"/>
      <c r="I15" s="451" t="n"/>
      <c r="J15" s="451" t="n"/>
      <c r="K15" s="451" t="n"/>
      <c r="L15" s="451" t="n"/>
      <c r="R15" s="155" t="n"/>
      <c r="S15" s="151" t="n"/>
      <c r="T15" s="141" t="n"/>
      <c r="U15" s="141" t="n"/>
      <c r="V15" s="141" t="n"/>
      <c r="W15" s="152" t="n"/>
      <c r="X15" s="141" t="n"/>
      <c r="Y15" s="141" t="n"/>
      <c r="Z15" s="141" t="n"/>
      <c r="AA15" s="141" t="n"/>
      <c r="AB15" s="141" t="n"/>
    </row>
    <row r="16" ht="18" customHeight="1">
      <c r="A16" s="142" t="n"/>
      <c r="B16" s="153" t="inlineStr">
        <is>
          <t>Equipo Hrs/ Km</t>
        </is>
      </c>
      <c r="C16" s="154" t="n">
        <v>12000</v>
      </c>
      <c r="D16" s="154" t="n"/>
      <c r="E16" s="154" t="n"/>
      <c r="F16" s="154" t="n"/>
      <c r="G16" s="154" t="n"/>
      <c r="H16" s="154" t="n"/>
      <c r="I16" s="154" t="n"/>
      <c r="J16" s="154" t="n"/>
      <c r="K16" s="154" t="n"/>
      <c r="L16" s="154" t="n"/>
      <c r="R16" s="155" t="n"/>
      <c r="S16" s="151" t="n"/>
      <c r="T16" s="141" t="n"/>
      <c r="U16" s="141" t="n"/>
      <c r="V16" s="141" t="n"/>
      <c r="W16" s="152" t="n"/>
      <c r="X16" s="141" t="n"/>
      <c r="Y16" s="141" t="n"/>
      <c r="Z16" s="141" t="n"/>
      <c r="AA16" s="141" t="n"/>
      <c r="AB16" s="141" t="n"/>
    </row>
    <row r="17" ht="18" customHeight="1">
      <c r="A17" s="142" t="n"/>
      <c r="B17" s="153" t="inlineStr">
        <is>
          <t>Aceite Hrs/ Km</t>
        </is>
      </c>
      <c r="C17" s="154" t="n">
        <v>320</v>
      </c>
      <c r="D17" s="154" t="n"/>
      <c r="E17" s="154" t="n"/>
      <c r="F17" s="154" t="n"/>
      <c r="G17" s="154" t="n"/>
      <c r="H17" s="154" t="n"/>
      <c r="I17" s="154" t="n"/>
      <c r="J17" s="154" t="n"/>
      <c r="K17" s="154" t="n"/>
      <c r="L17" s="154" t="n"/>
      <c r="R17" s="155" t="n"/>
      <c r="S17" s="151" t="n"/>
      <c r="T17" s="141" t="n"/>
      <c r="U17" s="141" t="n"/>
      <c r="V17" s="141" t="n"/>
      <c r="W17" s="152" t="n"/>
      <c r="X17" s="141" t="n"/>
      <c r="Y17" s="141" t="n"/>
      <c r="Z17" s="141" t="n"/>
      <c r="AA17" s="141" t="n"/>
      <c r="AB17" s="141" t="n"/>
    </row>
    <row r="18" ht="18" customHeight="1">
      <c r="A18" s="142" t="n"/>
      <c r="B18" s="153" t="inlineStr">
        <is>
          <t>Condición</t>
        </is>
      </c>
      <c r="C18" s="157" t="inlineStr">
        <is>
          <t>NORMAL</t>
        </is>
      </c>
      <c r="D18" s="157" t="n"/>
      <c r="E18" s="157" t="n"/>
      <c r="F18" s="157" t="n"/>
      <c r="G18" s="157" t="n"/>
      <c r="H18" s="157" t="n"/>
      <c r="I18" s="157" t="n"/>
      <c r="J18" s="157" t="n"/>
      <c r="K18" s="157" t="n"/>
      <c r="L18" s="157" t="n"/>
      <c r="R18" s="155" t="n"/>
      <c r="S18" s="151" t="n"/>
      <c r="T18" s="141" t="n"/>
      <c r="U18" s="141" t="n"/>
      <c r="V18" s="141" t="n"/>
      <c r="W18" s="152" t="n"/>
      <c r="X18" s="141" t="n"/>
      <c r="Y18" s="141" t="n"/>
      <c r="Z18" s="141" t="n"/>
      <c r="AA18" s="141" t="n"/>
      <c r="AB18" s="141" t="n"/>
    </row>
    <row r="19" ht="18" customHeight="1">
      <c r="A19" s="142" t="n"/>
      <c r="B19" s="158" t="n"/>
      <c r="C19" s="158" t="n"/>
      <c r="D19" s="158" t="n"/>
      <c r="E19" s="158" t="n"/>
      <c r="F19" s="158" t="n"/>
      <c r="G19" s="158" t="n"/>
      <c r="H19" s="158" t="n"/>
      <c r="I19" s="158" t="n"/>
      <c r="J19" s="158" t="n"/>
      <c r="K19" s="158" t="n"/>
      <c r="L19" s="158" t="n"/>
      <c r="R19" s="155" t="n"/>
      <c r="S19" s="151" t="n"/>
      <c r="T19" s="141" t="n"/>
      <c r="U19" s="141" t="n"/>
      <c r="V19" s="141" t="n"/>
      <c r="W19" s="152" t="n"/>
      <c r="X19" s="141" t="n"/>
      <c r="Y19" s="141" t="n"/>
      <c r="Z19" s="141" t="n"/>
      <c r="AA19" s="141" t="n"/>
      <c r="AB19" s="141" t="n"/>
    </row>
    <row r="20" ht="18" customHeight="1">
      <c r="A20" s="142" t="n"/>
      <c r="B20" s="275" t="inlineStr">
        <is>
          <t>ESTADO DEL LUBRICANTE</t>
        </is>
      </c>
      <c r="C20" s="446" t="n"/>
      <c r="D20" s="446" t="n"/>
      <c r="E20" s="446" t="n"/>
      <c r="F20" s="446" t="n"/>
      <c r="G20" s="446" t="n"/>
      <c r="H20" s="446" t="n"/>
      <c r="I20" s="446" t="n"/>
      <c r="J20" s="446" t="n"/>
      <c r="K20" s="446" t="n"/>
      <c r="L20" s="447" t="n"/>
      <c r="N20" s="276" t="inlineStr">
        <is>
          <t>* Rangos Generales</t>
        </is>
      </c>
      <c r="O20" s="436" t="n"/>
      <c r="P20" s="436" t="n"/>
      <c r="Q20" s="437" t="n"/>
      <c r="R20" s="155" t="n"/>
      <c r="S20" s="151" t="n"/>
      <c r="T20" s="141" t="n"/>
      <c r="U20" s="141" t="n"/>
      <c r="V20" s="141" t="n"/>
      <c r="W20" s="152" t="n"/>
      <c r="X20" s="141" t="n"/>
      <c r="Y20" s="141" t="n"/>
      <c r="Z20" s="141" t="n"/>
      <c r="AA20" s="141" t="n"/>
      <c r="AB20" s="141" t="n"/>
    </row>
    <row r="21" ht="18" customHeight="1">
      <c r="A21" s="142" t="n"/>
      <c r="B21" s="448" t="n"/>
      <c r="C21" s="449" t="n"/>
      <c r="D21" s="449" t="n"/>
      <c r="E21" s="449" t="n"/>
      <c r="F21" s="449" t="n"/>
      <c r="G21" s="449" t="n"/>
      <c r="H21" s="449" t="n"/>
      <c r="I21" s="449" t="n"/>
      <c r="J21" s="449" t="n"/>
      <c r="K21" s="449" t="n"/>
      <c r="L21" s="450" t="n"/>
      <c r="M21" s="149" t="n"/>
      <c r="N21" s="276" t="inlineStr">
        <is>
          <t>Precaución</t>
        </is>
      </c>
      <c r="O21" s="437" t="n"/>
      <c r="P21" s="276" t="inlineStr">
        <is>
          <t>Anormal</t>
        </is>
      </c>
      <c r="Q21" s="437" t="n"/>
      <c r="R21" s="155" t="n"/>
      <c r="S21" s="151" t="n"/>
      <c r="T21" s="141" t="n"/>
      <c r="U21" s="141" t="n"/>
      <c r="V21" s="141" t="n"/>
      <c r="W21" s="152" t="n"/>
      <c r="X21" s="286" t="n"/>
      <c r="Y21" s="286" t="n"/>
      <c r="Z21" s="286" t="n"/>
      <c r="AA21" s="286" t="n"/>
      <c r="AB21" s="286" t="n"/>
    </row>
    <row r="22" ht="15.75" customHeight="1">
      <c r="A22" s="142" t="n"/>
      <c r="B22" s="153" t="inlineStr">
        <is>
          <t>Viscosidad a 100ºC, cSt</t>
        </is>
      </c>
      <c r="C22" s="452" t="n">
        <v>0</v>
      </c>
      <c r="D22" s="452" t="n"/>
      <c r="E22" s="452" t="n"/>
      <c r="F22" s="452" t="n"/>
      <c r="G22" s="452" t="n"/>
      <c r="H22" s="452" t="n"/>
      <c r="I22" s="452" t="n"/>
      <c r="J22" s="452" t="n"/>
      <c r="K22" s="452" t="n"/>
      <c r="L22" s="452" t="n"/>
      <c r="M22" s="149" t="n"/>
      <c r="N22" s="160" t="n"/>
      <c r="O22" s="453" t="n"/>
      <c r="P22" s="162" t="n"/>
      <c r="Q22" s="453" t="n"/>
      <c r="R22" s="155" t="n"/>
      <c r="S22" s="151" t="n"/>
      <c r="T22" s="141" t="n"/>
      <c r="U22" s="141" t="n"/>
      <c r="V22" s="141" t="n"/>
      <c r="W22" s="152" t="n"/>
      <c r="X22" s="141" t="n"/>
      <c r="Y22" s="141" t="n"/>
      <c r="Z22" s="141" t="n"/>
      <c r="AA22" s="141" t="n"/>
      <c r="AB22" s="141" t="n"/>
    </row>
    <row r="23" hidden="1" ht="15.75" customHeight="1">
      <c r="A23" s="142" t="n"/>
      <c r="B23" s="153" t="inlineStr">
        <is>
          <t>Viscosidad a 40ºC, cSt</t>
        </is>
      </c>
      <c r="C23" s="452" t="n">
        <v>0</v>
      </c>
      <c r="D23" s="452" t="n"/>
      <c r="E23" s="452" t="n"/>
      <c r="F23" s="452" t="n"/>
      <c r="G23" s="452" t="n"/>
      <c r="H23" s="452" t="n"/>
      <c r="I23" s="452" t="n"/>
      <c r="J23" s="452" t="n"/>
      <c r="K23" s="452" t="n"/>
      <c r="L23" s="452" t="n"/>
      <c r="M23" s="149" t="n"/>
      <c r="N23" s="160" t="n"/>
      <c r="O23" s="453" t="n"/>
      <c r="P23" s="162" t="n"/>
      <c r="Q23" s="453" t="n"/>
      <c r="R23" s="155" t="n"/>
      <c r="S23" s="151" t="n"/>
      <c r="T23" s="141" t="n"/>
      <c r="U23" s="141" t="n"/>
      <c r="V23" s="141" t="n"/>
      <c r="W23" s="152" t="n"/>
      <c r="X23" s="141" t="n"/>
      <c r="Y23" s="141" t="n"/>
      <c r="Z23" s="141" t="n"/>
      <c r="AA23" s="141" t="n"/>
      <c r="AB23" s="141" t="n"/>
    </row>
    <row r="24" hidden="1" ht="15.75" customHeight="1">
      <c r="A24" s="142" t="n"/>
      <c r="B24" s="153" t="inlineStr">
        <is>
          <t>Indice de Viscosidad</t>
        </is>
      </c>
      <c r="C24" s="163" t="n">
        <v>0</v>
      </c>
      <c r="D24" s="163" t="n"/>
      <c r="E24" s="163" t="n"/>
      <c r="F24" s="163" t="n"/>
      <c r="G24" s="163" t="n"/>
      <c r="H24" s="163" t="n"/>
      <c r="I24" s="163" t="n"/>
      <c r="J24" s="163" t="n"/>
      <c r="K24" s="163" t="n"/>
      <c r="L24" s="163" t="n"/>
      <c r="M24" s="149" t="n"/>
      <c r="N24" s="164" t="n"/>
      <c r="O24" s="454" t="n"/>
      <c r="P24" s="164" t="n"/>
      <c r="Q24" s="454" t="n"/>
      <c r="R24" s="155" t="n"/>
      <c r="S24" s="151" t="n"/>
      <c r="T24" s="141" t="n"/>
      <c r="U24" s="141" t="n"/>
      <c r="V24" s="141" t="n"/>
      <c r="W24" s="152" t="n"/>
      <c r="X24" s="141" t="n"/>
      <c r="Y24" s="141" t="n"/>
      <c r="Z24" s="141" t="n"/>
      <c r="AA24" s="141" t="n"/>
      <c r="AB24" s="141" t="n"/>
    </row>
    <row r="25" hidden="1" ht="15.75" customHeight="1">
      <c r="A25" s="142" t="n"/>
      <c r="B25" s="153" t="inlineStr">
        <is>
          <t>T.B.N. mgKOH/gr</t>
        </is>
      </c>
      <c r="C25" s="455" t="n">
        <v>0</v>
      </c>
      <c r="D25" s="455" t="n"/>
      <c r="E25" s="455" t="n"/>
      <c r="F25" s="455" t="n"/>
      <c r="G25" s="455" t="n"/>
      <c r="H25" s="455" t="n"/>
      <c r="I25" s="455" t="n"/>
      <c r="J25" s="455" t="n"/>
      <c r="K25" s="455" t="n"/>
      <c r="L25" s="455" t="n"/>
      <c r="M25" s="167" t="n"/>
      <c r="N25" s="276" t="inlineStr">
        <is>
          <t>[50% TBN -1]</t>
        </is>
      </c>
      <c r="O25" s="436" t="n"/>
      <c r="P25" s="436" t="n"/>
      <c r="Q25" s="437" t="n"/>
      <c r="R25" s="155" t="n"/>
      <c r="S25" s="151" t="n"/>
      <c r="T25" s="141" t="n"/>
      <c r="U25" s="141" t="n"/>
      <c r="V25" s="141" t="n"/>
      <c r="W25" s="152" t="n"/>
    </row>
    <row r="26" ht="18" customHeight="1">
      <c r="A26" s="142" t="n"/>
      <c r="B26" s="153" t="inlineStr">
        <is>
          <t>Humedad</t>
        </is>
      </c>
      <c r="C26" s="154" t="inlineStr">
        <is>
          <t>NEGATIVO</t>
        </is>
      </c>
      <c r="D26" s="154" t="n"/>
      <c r="E26" s="154" t="n"/>
      <c r="F26" s="154" t="n"/>
      <c r="G26" s="154" t="n"/>
      <c r="H26" s="154" t="n"/>
      <c r="I26" s="154" t="n"/>
      <c r="J26" s="154" t="n"/>
      <c r="K26" s="154" t="n"/>
      <c r="L26" s="154" t="n"/>
      <c r="M26" s="149" t="n"/>
      <c r="N26" s="164" t="n"/>
      <c r="O26" s="454" t="n"/>
      <c r="P26" s="290" t="inlineStr">
        <is>
          <t>POSITIVO</t>
        </is>
      </c>
      <c r="Q26" s="437" t="n"/>
      <c r="R26" s="155" t="n"/>
      <c r="S26" s="151" t="n"/>
      <c r="T26" s="141" t="n"/>
      <c r="U26" s="141" t="n"/>
      <c r="V26" s="141" t="n"/>
      <c r="W26" s="152" t="n"/>
      <c r="X26" s="141" t="n"/>
      <c r="Y26" s="141" t="n"/>
      <c r="Z26" s="141" t="n"/>
      <c r="AA26" s="141" t="n"/>
    </row>
    <row r="27" hidden="1" ht="15.75" customHeight="1">
      <c r="A27" s="142" t="n"/>
      <c r="B27" s="153" t="inlineStr">
        <is>
          <t>Glycol,  Abs/cm</t>
        </is>
      </c>
      <c r="C27" s="154" t="n">
        <v>0</v>
      </c>
      <c r="D27" s="154" t="n"/>
      <c r="E27" s="154" t="n"/>
      <c r="F27" s="154" t="n"/>
      <c r="G27" s="154" t="n"/>
      <c r="H27" s="154" t="n"/>
      <c r="I27" s="154" t="n"/>
      <c r="J27" s="154" t="n"/>
      <c r="K27" s="154" t="n"/>
      <c r="L27" s="154" t="n"/>
      <c r="M27" s="149" t="n"/>
      <c r="N27" s="168" t="n"/>
      <c r="O27" s="169" t="n"/>
      <c r="P27" s="168" t="n"/>
      <c r="Q27" s="170" t="n"/>
      <c r="R27" s="155" t="n"/>
      <c r="S27" s="151" t="n"/>
      <c r="T27" s="141" t="n"/>
      <c r="U27" s="141" t="n"/>
      <c r="V27" s="141" t="n"/>
      <c r="W27" s="152" t="n"/>
      <c r="X27" s="141" t="n"/>
      <c r="Y27" s="141" t="n"/>
      <c r="Z27" s="141" t="n"/>
    </row>
    <row r="28" hidden="1" ht="15.75" customFormat="1" customHeight="1" s="173">
      <c r="A28" s="171" t="n"/>
      <c r="B28" s="153" t="inlineStr">
        <is>
          <t>Combustible</t>
        </is>
      </c>
      <c r="C28" s="154" t="inlineStr">
        <is>
          <t>NEGATIVO</t>
        </is>
      </c>
      <c r="D28" s="154" t="n"/>
      <c r="E28" s="154" t="n"/>
      <c r="F28" s="154" t="n"/>
      <c r="G28" s="154" t="n"/>
      <c r="H28" s="154" t="n"/>
      <c r="I28" s="154" t="n"/>
      <c r="J28" s="154" t="n"/>
      <c r="K28" s="154" t="n"/>
      <c r="L28" s="154" t="n"/>
      <c r="M28" s="167" t="n"/>
      <c r="N28" s="164" t="n"/>
      <c r="O28" s="454" t="n"/>
      <c r="P28" s="290" t="inlineStr">
        <is>
          <t>POSITIVO</t>
        </is>
      </c>
      <c r="Q28" s="437" t="n"/>
      <c r="R28" s="172" t="n"/>
      <c r="S28" s="151" t="n"/>
      <c r="T28" s="141" t="n"/>
      <c r="U28" s="141" t="n"/>
      <c r="V28" s="141" t="n"/>
      <c r="W28" s="152" t="n"/>
      <c r="X28" s="141" t="n"/>
      <c r="Y28" s="141" t="n"/>
      <c r="Z28" s="141" t="n"/>
      <c r="AA28" s="141" t="n"/>
    </row>
    <row r="29" ht="18" customHeight="1">
      <c r="A29" s="142" t="n"/>
      <c r="B29" s="158" t="n"/>
      <c r="C29" s="158" t="n"/>
      <c r="D29" s="158" t="n"/>
      <c r="E29" s="158" t="n"/>
      <c r="F29" s="158" t="n"/>
      <c r="G29" s="158" t="n"/>
      <c r="H29" s="158" t="n"/>
      <c r="I29" s="158" t="n"/>
      <c r="J29" s="158" t="n"/>
      <c r="K29" s="158" t="n"/>
      <c r="L29" s="158" t="n"/>
      <c r="N29" s="174" t="n"/>
      <c r="O29" s="175" t="n"/>
      <c r="P29" s="175" t="n"/>
      <c r="Q29" s="175" t="n"/>
      <c r="R29" s="155" t="n"/>
      <c r="S29" s="151" t="n"/>
      <c r="T29" s="141" t="n"/>
      <c r="U29" s="141" t="n"/>
      <c r="V29" s="141" t="n"/>
      <c r="W29" s="152" t="n"/>
    </row>
    <row r="30" ht="18" customHeight="1">
      <c r="A30" s="142" t="n"/>
      <c r="B30" s="275" t="inlineStr">
        <is>
          <t>DEGRADACIÓN QUÍMICA</t>
        </is>
      </c>
      <c r="C30" s="446" t="n"/>
      <c r="D30" s="446" t="n"/>
      <c r="E30" s="446" t="n"/>
      <c r="F30" s="446" t="n"/>
      <c r="G30" s="446" t="n"/>
      <c r="H30" s="446" t="n"/>
      <c r="I30" s="446" t="n"/>
      <c r="J30" s="446" t="n"/>
      <c r="K30" s="446" t="n"/>
      <c r="L30" s="447" t="n"/>
      <c r="N30" s="276" t="inlineStr">
        <is>
          <t>* Rangos Generales</t>
        </is>
      </c>
      <c r="O30" s="436" t="n"/>
      <c r="P30" s="436" t="n"/>
      <c r="Q30" s="437" t="n"/>
      <c r="R30" s="155" t="n"/>
      <c r="S30" s="151" t="n"/>
      <c r="T30" s="141" t="n"/>
      <c r="U30" s="141" t="n"/>
      <c r="V30" s="141" t="n"/>
      <c r="W30" s="152" t="n"/>
    </row>
    <row r="31" ht="18" customHeight="1">
      <c r="A31" s="142" t="n"/>
      <c r="B31" s="448" t="n"/>
      <c r="C31" s="449" t="n"/>
      <c r="D31" s="449" t="n"/>
      <c r="E31" s="449" t="n"/>
      <c r="F31" s="449" t="n"/>
      <c r="G31" s="449" t="n"/>
      <c r="H31" s="449" t="n"/>
      <c r="I31" s="449" t="n"/>
      <c r="J31" s="449" t="n"/>
      <c r="K31" s="449" t="n"/>
      <c r="L31" s="450" t="n"/>
      <c r="M31" s="149" t="n"/>
      <c r="N31" s="276" t="inlineStr">
        <is>
          <t>Precaución</t>
        </is>
      </c>
      <c r="O31" s="437" t="n"/>
      <c r="P31" s="276" t="inlineStr">
        <is>
          <t>Anormal</t>
        </is>
      </c>
      <c r="Q31" s="437" t="n"/>
      <c r="R31" s="155" t="n"/>
      <c r="S31" s="151" t="n"/>
      <c r="T31" s="141" t="n"/>
      <c r="U31" s="141" t="n"/>
      <c r="V31" s="141" t="n"/>
      <c r="W31" s="152" t="n"/>
      <c r="X31" s="286" t="n"/>
      <c r="Y31" s="286" t="n"/>
      <c r="Z31" s="286" t="n"/>
      <c r="AA31" s="286" t="n"/>
      <c r="AB31" s="286" t="n"/>
    </row>
    <row r="32" ht="18" customHeight="1">
      <c r="A32" s="142" t="n"/>
      <c r="B32" s="153" t="inlineStr">
        <is>
          <t>Oxidación, Abs/cm</t>
        </is>
      </c>
      <c r="C32" s="456" t="n">
        <v>0</v>
      </c>
      <c r="D32" s="456" t="n"/>
      <c r="E32" s="456" t="n"/>
      <c r="F32" s="456" t="n"/>
      <c r="G32" s="456" t="n"/>
      <c r="H32" s="456" t="n"/>
      <c r="I32" s="456" t="n"/>
      <c r="J32" s="456" t="n"/>
      <c r="K32" s="456" t="n"/>
      <c r="L32" s="456" t="n"/>
      <c r="M32" s="149" t="n"/>
      <c r="N32" s="164" t="n"/>
      <c r="O32" s="177" t="n"/>
      <c r="P32" s="164" t="n"/>
      <c r="Q32" s="177" t="n"/>
      <c r="R32" s="155" t="n"/>
      <c r="S32" s="151" t="n"/>
      <c r="T32" s="141" t="n"/>
      <c r="U32" s="141" t="n"/>
      <c r="V32" s="141" t="n"/>
      <c r="W32" s="152" t="n"/>
      <c r="X32" s="141" t="n"/>
      <c r="Y32" s="141" t="n"/>
      <c r="Z32" s="141" t="n"/>
    </row>
    <row r="33" hidden="1" ht="15.75" customHeight="1">
      <c r="A33" s="142" t="n"/>
      <c r="B33" s="153" t="inlineStr">
        <is>
          <t>Nitración, Abs/cm</t>
        </is>
      </c>
      <c r="C33" s="423" t="n">
        <v>0</v>
      </c>
      <c r="D33" s="423" t="n"/>
      <c r="E33" s="423" t="n"/>
      <c r="F33" s="423" t="n"/>
      <c r="G33" s="423" t="n"/>
      <c r="H33" s="423" t="n"/>
      <c r="I33" s="423" t="n"/>
      <c r="J33" s="423" t="n"/>
      <c r="K33" s="423" t="n"/>
      <c r="L33" s="423" t="n"/>
      <c r="M33" s="149" t="n"/>
      <c r="N33" s="164" t="n"/>
      <c r="O33" s="177" t="n"/>
      <c r="P33" s="164" t="n"/>
      <c r="Q33" s="177" t="n"/>
      <c r="R33" s="155" t="n"/>
      <c r="S33" s="151" t="n"/>
      <c r="T33" s="141" t="n"/>
      <c r="U33" s="141" t="n"/>
      <c r="V33" s="141" t="n"/>
      <c r="W33" s="152" t="n"/>
    </row>
    <row r="34" hidden="1" ht="15.75" customHeight="1">
      <c r="A34" s="142" t="n"/>
      <c r="B34" s="153" t="inlineStr">
        <is>
          <t>Sulfatación, Abs/cm</t>
        </is>
      </c>
      <c r="C34" s="423" t="n">
        <v>0</v>
      </c>
      <c r="D34" s="423" t="n"/>
      <c r="E34" s="423" t="n"/>
      <c r="F34" s="423" t="n"/>
      <c r="G34" s="423" t="n"/>
      <c r="H34" s="423" t="n"/>
      <c r="I34" s="423" t="n"/>
      <c r="J34" s="423" t="n"/>
      <c r="K34" s="423" t="n"/>
      <c r="L34" s="423" t="n"/>
      <c r="M34" s="149" t="n"/>
      <c r="N34" s="164" t="n"/>
      <c r="O34" s="177" t="n"/>
      <c r="P34" s="164" t="n"/>
      <c r="Q34" s="177" t="n"/>
      <c r="R34" s="155" t="n"/>
      <c r="S34" s="151" t="n"/>
      <c r="T34" s="141" t="n"/>
      <c r="U34" s="141" t="n"/>
      <c r="V34" s="141" t="n"/>
      <c r="W34" s="152" t="n"/>
    </row>
    <row r="35" hidden="1" ht="15.75" customHeight="1">
      <c r="A35" s="142" t="n"/>
      <c r="B35" s="153" t="inlineStr">
        <is>
          <t>Hollín, wt%</t>
        </is>
      </c>
      <c r="C35" s="423" t="n">
        <v>0</v>
      </c>
      <c r="D35" s="423" t="n"/>
      <c r="E35" s="423" t="n"/>
      <c r="F35" s="423" t="n"/>
      <c r="G35" s="423" t="n"/>
      <c r="H35" s="423" t="n"/>
      <c r="I35" s="423" t="n"/>
      <c r="J35" s="423" t="n"/>
      <c r="K35" s="423" t="n"/>
      <c r="L35" s="423" t="n"/>
      <c r="M35" s="149" t="n"/>
      <c r="N35" s="164" t="n"/>
      <c r="O35" s="178" t="n"/>
      <c r="P35" s="164" t="n"/>
      <c r="Q35" s="177" t="n"/>
      <c r="R35" s="155" t="n"/>
      <c r="S35" s="151" t="n"/>
      <c r="T35" s="141" t="n"/>
      <c r="U35" s="141" t="n"/>
      <c r="V35" s="141" t="n"/>
      <c r="W35" s="152" t="n"/>
    </row>
    <row r="36" ht="18" customHeight="1">
      <c r="A36" s="142" t="n"/>
      <c r="B36" s="158" t="n"/>
      <c r="C36" s="158" t="n"/>
      <c r="D36" s="158" t="n"/>
      <c r="E36" s="158" t="n"/>
      <c r="F36" s="158" t="n"/>
      <c r="G36" s="158" t="n"/>
      <c r="H36" s="158" t="n"/>
      <c r="I36" s="158" t="n"/>
      <c r="J36" s="158" t="n"/>
      <c r="K36" s="158" t="n"/>
      <c r="L36" s="158" t="n"/>
      <c r="N36" s="174" t="n"/>
      <c r="O36" s="175" t="n"/>
      <c r="P36" s="175" t="n"/>
      <c r="Q36" s="175" t="n"/>
      <c r="R36" s="155" t="n"/>
      <c r="S36" s="151" t="n"/>
      <c r="T36" s="141" t="n"/>
      <c r="U36" s="141" t="n"/>
      <c r="V36" s="141" t="n"/>
      <c r="W36" s="152" t="n"/>
      <c r="X36" s="141" t="n"/>
      <c r="Y36" s="141" t="n"/>
      <c r="Z36" s="141" t="n"/>
      <c r="AA36" s="141" t="n"/>
    </row>
    <row r="37" ht="18" customHeight="1">
      <c r="A37" s="142" t="n"/>
      <c r="B37" s="275" t="inlineStr">
        <is>
          <t>CONTAMINACIÓN DEL LUBRICANTE - PPM (mg/kg)</t>
        </is>
      </c>
      <c r="C37" s="446" t="n"/>
      <c r="D37" s="446" t="n"/>
      <c r="E37" s="446" t="n"/>
      <c r="F37" s="446" t="n"/>
      <c r="G37" s="446" t="n"/>
      <c r="H37" s="446" t="n"/>
      <c r="I37" s="446" t="n"/>
      <c r="J37" s="446" t="n"/>
      <c r="K37" s="446" t="n"/>
      <c r="L37" s="447" t="n"/>
      <c r="N37" s="276" t="inlineStr">
        <is>
          <t>* Rangos Generales</t>
        </is>
      </c>
      <c r="O37" s="436" t="n"/>
      <c r="P37" s="436" t="n"/>
      <c r="Q37" s="437" t="n"/>
      <c r="R37" s="155" t="n"/>
      <c r="S37" s="151" t="n"/>
      <c r="T37" s="141" t="n"/>
      <c r="U37" s="141" t="n"/>
      <c r="V37" s="141" t="n"/>
      <c r="W37" s="152" t="n"/>
      <c r="X37" s="141" t="n"/>
      <c r="Y37" s="141" t="n"/>
      <c r="Z37" s="141" t="n"/>
      <c r="AA37" s="141" t="n"/>
    </row>
    <row r="38" ht="18" customHeight="1">
      <c r="A38" s="142" t="n"/>
      <c r="B38" s="448" t="n"/>
      <c r="C38" s="449" t="n"/>
      <c r="D38" s="449" t="n"/>
      <c r="E38" s="449" t="n"/>
      <c r="F38" s="449" t="n"/>
      <c r="G38" s="449" t="n"/>
      <c r="H38" s="449" t="n"/>
      <c r="I38" s="449" t="n"/>
      <c r="J38" s="449" t="n"/>
      <c r="K38" s="449" t="n"/>
      <c r="L38" s="450" t="n"/>
      <c r="M38" s="149" t="n"/>
      <c r="N38" s="276" t="inlineStr">
        <is>
          <t>Precaución</t>
        </is>
      </c>
      <c r="O38" s="437" t="n"/>
      <c r="P38" s="276" t="inlineStr">
        <is>
          <t>Anormal</t>
        </is>
      </c>
      <c r="Q38" s="437" t="n"/>
      <c r="R38" s="179" t="n"/>
      <c r="S38" s="151" t="n"/>
      <c r="T38" s="141" t="n"/>
      <c r="U38" s="141" t="n"/>
      <c r="V38" s="141" t="n"/>
      <c r="W38" s="152" t="n"/>
      <c r="X38" s="141" t="n"/>
      <c r="Y38" s="141" t="n"/>
      <c r="Z38" s="141" t="n"/>
      <c r="AA38" s="141" t="n"/>
    </row>
    <row r="39" ht="18" customHeight="1">
      <c r="A39" s="142" t="n"/>
      <c r="B39" s="153" t="inlineStr">
        <is>
          <t>Si (Silicio)</t>
        </is>
      </c>
      <c r="C39" s="154" t="n">
        <v>0</v>
      </c>
      <c r="D39" s="154" t="n"/>
      <c r="E39" s="154" t="n"/>
      <c r="F39" s="154" t="n"/>
      <c r="G39" s="154" t="n"/>
      <c r="H39" s="154" t="n"/>
      <c r="I39" s="154" t="n"/>
      <c r="J39" s="154" t="n"/>
      <c r="K39" s="154" t="n"/>
      <c r="L39" s="154" t="n"/>
      <c r="M39" s="149" t="n"/>
      <c r="N39" s="164" t="n"/>
      <c r="O39" s="177" t="n"/>
      <c r="P39" s="164" t="n"/>
      <c r="Q39" s="177" t="n"/>
      <c r="R39" s="155" t="n"/>
      <c r="S39" s="151" t="n"/>
      <c r="T39" s="141" t="n"/>
      <c r="U39" s="141" t="n"/>
      <c r="V39" s="141" t="n"/>
      <c r="W39" s="152" t="n"/>
      <c r="X39" s="141" t="n"/>
      <c r="Y39" s="141" t="n"/>
      <c r="Z39" s="141" t="n"/>
      <c r="AA39" s="141" t="n"/>
    </row>
    <row r="40" ht="18" customHeight="1">
      <c r="A40" s="142" t="n"/>
      <c r="B40" s="153" t="inlineStr">
        <is>
          <t>Na (Sodio)</t>
        </is>
      </c>
      <c r="C40" s="154" t="n">
        <v>0</v>
      </c>
      <c r="D40" s="154" t="n"/>
      <c r="E40" s="154" t="n"/>
      <c r="F40" s="154" t="n"/>
      <c r="G40" s="154" t="n"/>
      <c r="H40" s="154" t="n"/>
      <c r="I40" s="154" t="n"/>
      <c r="J40" s="154" t="n"/>
      <c r="K40" s="154" t="n"/>
      <c r="L40" s="154" t="n"/>
      <c r="M40" s="149" t="n"/>
      <c r="N40" s="164" t="n"/>
      <c r="O40" s="177" t="n"/>
      <c r="P40" s="164" t="n"/>
      <c r="Q40" s="177" t="n"/>
      <c r="R40" s="155" t="n"/>
      <c r="S40" s="151" t="n"/>
      <c r="T40" s="141" t="n"/>
      <c r="U40" s="141" t="n"/>
      <c r="V40" s="141" t="n"/>
      <c r="W40" s="152" t="n"/>
      <c r="X40" s="141" t="n"/>
      <c r="Y40" s="141" t="n"/>
      <c r="Z40" s="141" t="n"/>
      <c r="AA40" s="141" t="n"/>
    </row>
    <row r="41" ht="18" customHeight="1">
      <c r="A41" s="142" t="n"/>
      <c r="B41" s="153" t="inlineStr">
        <is>
          <t>Vanadio (V)</t>
        </is>
      </c>
      <c r="C41" s="154" t="n">
        <v>0</v>
      </c>
      <c r="D41" s="154" t="n"/>
      <c r="E41" s="154" t="n"/>
      <c r="F41" s="154" t="n"/>
      <c r="G41" s="154" t="n"/>
      <c r="H41" s="154" t="n"/>
      <c r="I41" s="154" t="n"/>
      <c r="J41" s="154" t="n"/>
      <c r="K41" s="154" t="n"/>
      <c r="L41" s="154" t="n"/>
      <c r="M41" s="149" t="n"/>
      <c r="N41" s="164" t="n"/>
      <c r="O41" s="177" t="n"/>
      <c r="P41" s="164" t="n"/>
      <c r="Q41" s="177" t="n"/>
      <c r="R41" s="155" t="n"/>
      <c r="S41" s="151" t="n"/>
      <c r="T41" s="141" t="n"/>
      <c r="U41" s="141" t="n"/>
      <c r="V41" s="141" t="n"/>
      <c r="W41" s="152" t="n"/>
      <c r="X41" s="141" t="n"/>
      <c r="Y41" s="141" t="n"/>
      <c r="Z41" s="141" t="n"/>
      <c r="AA41" s="141" t="n"/>
    </row>
    <row r="42" ht="18" customFormat="1" customHeight="1" s="173">
      <c r="A42" s="171" t="n"/>
      <c r="B42" s="153" t="inlineStr">
        <is>
          <t>Ni (Niquel)</t>
        </is>
      </c>
      <c r="C42" s="154" t="n">
        <v>0</v>
      </c>
      <c r="D42" s="154" t="n"/>
      <c r="E42" s="154" t="n"/>
      <c r="F42" s="154" t="n"/>
      <c r="G42" s="154" t="n"/>
      <c r="H42" s="154" t="n"/>
      <c r="I42" s="154" t="n"/>
      <c r="J42" s="154" t="n"/>
      <c r="K42" s="154" t="n"/>
      <c r="L42" s="154" t="n"/>
      <c r="M42" s="140" t="n"/>
      <c r="N42" s="164" t="n"/>
      <c r="O42" s="178" t="n"/>
      <c r="P42" s="164" t="n"/>
      <c r="Q42" s="178" t="n"/>
      <c r="R42" s="172" t="n"/>
      <c r="S42" s="151" t="n"/>
      <c r="T42" s="141" t="n"/>
      <c r="U42" s="141" t="n"/>
      <c r="V42" s="141" t="n"/>
      <c r="W42" s="152" t="n"/>
      <c r="X42" s="141" t="n"/>
      <c r="Y42" s="141" t="n"/>
      <c r="Z42" s="141" t="n"/>
      <c r="AA42" s="141" t="n"/>
    </row>
    <row r="43" ht="18" customFormat="1" customHeight="1" s="173">
      <c r="A43" s="171" t="n"/>
      <c r="B43" s="158" t="n"/>
      <c r="C43" s="158" t="n"/>
      <c r="D43" s="158" t="n"/>
      <c r="E43" s="158" t="n"/>
      <c r="F43" s="158" t="n"/>
      <c r="G43" s="158" t="n"/>
      <c r="H43" s="158" t="n"/>
      <c r="I43" s="158" t="n"/>
      <c r="J43" s="158" t="n"/>
      <c r="K43" s="158" t="n"/>
      <c r="L43" s="158" t="n"/>
      <c r="M43" s="141" t="n"/>
      <c r="N43" s="180" t="n"/>
      <c r="O43" s="180" t="n"/>
      <c r="P43" s="180" t="n"/>
      <c r="Q43" s="180" t="n"/>
      <c r="R43" s="172" t="n"/>
      <c r="S43" s="151" t="n"/>
      <c r="T43" s="141" t="n"/>
      <c r="U43" s="141" t="n"/>
      <c r="V43" s="141" t="n"/>
      <c r="W43" s="152" t="n"/>
      <c r="X43" s="141" t="n"/>
      <c r="Y43" s="141" t="n"/>
      <c r="Z43" s="141" t="n"/>
      <c r="AA43" s="141" t="n"/>
    </row>
    <row r="44" ht="18" customHeight="1">
      <c r="A44" s="142" t="n"/>
      <c r="B44" s="275" t="inlineStr">
        <is>
          <t>DESGATE DEL EQUIPO  - PPM (mg/kg)</t>
        </is>
      </c>
      <c r="C44" s="446" t="n"/>
      <c r="D44" s="446" t="n"/>
      <c r="E44" s="446" t="n"/>
      <c r="F44" s="446" t="n"/>
      <c r="G44" s="446" t="n"/>
      <c r="H44" s="446" t="n"/>
      <c r="I44" s="446" t="n"/>
      <c r="J44" s="446" t="n"/>
      <c r="K44" s="446" t="n"/>
      <c r="L44" s="447" t="n"/>
      <c r="N44" s="276" t="inlineStr">
        <is>
          <t>* Rangos Generales</t>
        </is>
      </c>
      <c r="O44" s="436" t="n"/>
      <c r="P44" s="436" t="n"/>
      <c r="Q44" s="437" t="n"/>
      <c r="R44" s="155" t="n"/>
      <c r="S44" s="151" t="n"/>
      <c r="T44" s="141" t="n"/>
      <c r="U44" s="141" t="n"/>
      <c r="V44" s="141" t="n"/>
      <c r="W44" s="152" t="n"/>
      <c r="X44" s="141" t="n"/>
      <c r="Y44" s="141" t="n"/>
      <c r="Z44" s="141" t="n"/>
      <c r="AA44" s="141" t="n"/>
    </row>
    <row r="45" ht="18" customHeight="1">
      <c r="A45" s="142" t="n"/>
      <c r="B45" s="448" t="n"/>
      <c r="C45" s="449" t="n"/>
      <c r="D45" s="449" t="n"/>
      <c r="E45" s="449" t="n"/>
      <c r="F45" s="449" t="n"/>
      <c r="G45" s="449" t="n"/>
      <c r="H45" s="449" t="n"/>
      <c r="I45" s="449" t="n"/>
      <c r="J45" s="449" t="n"/>
      <c r="K45" s="449" t="n"/>
      <c r="L45" s="450" t="n"/>
      <c r="M45" s="149" t="n"/>
      <c r="N45" s="276" t="inlineStr">
        <is>
          <t>Precaución</t>
        </is>
      </c>
      <c r="O45" s="437" t="n"/>
      <c r="P45" s="276" t="inlineStr">
        <is>
          <t>Anormal</t>
        </is>
      </c>
      <c r="Q45" s="437" t="n"/>
      <c r="R45" s="181" t="n"/>
      <c r="S45" s="151" t="n"/>
      <c r="T45" s="141" t="n"/>
      <c r="U45" s="141" t="n"/>
      <c r="V45" s="141" t="n"/>
      <c r="W45" s="152" t="n"/>
      <c r="X45" s="141" t="n"/>
      <c r="Y45" s="141" t="n"/>
      <c r="Z45" s="141" t="n"/>
      <c r="AA45" s="141" t="n"/>
    </row>
    <row r="46" ht="18" customHeight="1">
      <c r="A46" s="142" t="n"/>
      <c r="B46" s="153" t="inlineStr">
        <is>
          <t>Fe (Hierro)</t>
        </is>
      </c>
      <c r="C46" s="154" t="n">
        <v>0</v>
      </c>
      <c r="D46" s="154" t="n"/>
      <c r="E46" s="154" t="n"/>
      <c r="F46" s="154" t="n"/>
      <c r="G46" s="154" t="n"/>
      <c r="H46" s="154" t="n"/>
      <c r="I46" s="154" t="n"/>
      <c r="J46" s="154" t="n"/>
      <c r="K46" s="154" t="n"/>
      <c r="L46" s="154" t="n"/>
      <c r="M46" s="149" t="n"/>
      <c r="N46" s="164" t="n"/>
      <c r="O46" s="177" t="n"/>
      <c r="P46" s="164" t="n"/>
      <c r="Q46" s="177" t="n"/>
      <c r="R46" s="155" t="n"/>
      <c r="S46" s="151" t="n"/>
      <c r="T46" s="141" t="n"/>
      <c r="U46" s="141" t="n"/>
      <c r="V46" s="141" t="n"/>
      <c r="W46" s="152" t="n"/>
      <c r="X46" s="141" t="n"/>
      <c r="Y46" s="141" t="n"/>
      <c r="Z46" s="141" t="n"/>
      <c r="AA46" s="141" t="n"/>
    </row>
    <row r="47" ht="18" customHeight="1">
      <c r="A47" s="142" t="n"/>
      <c r="B47" s="153" t="inlineStr">
        <is>
          <t>Cr (Cromo)</t>
        </is>
      </c>
      <c r="C47" s="154" t="n">
        <v>0</v>
      </c>
      <c r="D47" s="154" t="n"/>
      <c r="E47" s="154" t="n"/>
      <c r="F47" s="154" t="n"/>
      <c r="G47" s="154" t="n"/>
      <c r="H47" s="154" t="n"/>
      <c r="I47" s="154" t="n"/>
      <c r="J47" s="154" t="n"/>
      <c r="K47" s="154" t="n"/>
      <c r="L47" s="154" t="n"/>
      <c r="M47" s="149" t="n"/>
      <c r="N47" s="164" t="n"/>
      <c r="O47" s="177" t="n"/>
      <c r="P47" s="164" t="n"/>
      <c r="Q47" s="177" t="n"/>
      <c r="R47" s="155" t="n"/>
      <c r="S47" s="151" t="n"/>
      <c r="T47" s="141" t="n"/>
      <c r="U47" s="141" t="n"/>
      <c r="V47" s="141" t="n"/>
      <c r="W47" s="152" t="n"/>
      <c r="X47" s="141" t="n"/>
      <c r="Y47" s="141" t="n"/>
      <c r="Z47" s="141" t="n"/>
      <c r="AA47" s="141" t="n"/>
    </row>
    <row r="48" ht="18" customHeight="1">
      <c r="A48" s="142" t="n"/>
      <c r="B48" s="153" t="inlineStr">
        <is>
          <t>Al (Aluminio)</t>
        </is>
      </c>
      <c r="C48" s="154" t="n">
        <v>0</v>
      </c>
      <c r="D48" s="154" t="n"/>
      <c r="E48" s="154" t="n"/>
      <c r="F48" s="154" t="n"/>
      <c r="G48" s="154" t="n"/>
      <c r="H48" s="154" t="n"/>
      <c r="I48" s="154" t="n"/>
      <c r="J48" s="154" t="n"/>
      <c r="K48" s="154" t="n"/>
      <c r="L48" s="154" t="n"/>
      <c r="M48" s="149" t="n"/>
      <c r="N48" s="164" t="n"/>
      <c r="O48" s="177" t="n"/>
      <c r="P48" s="164" t="n"/>
      <c r="Q48" s="177" t="n"/>
      <c r="R48" s="155" t="n"/>
      <c r="S48" s="151" t="n"/>
      <c r="T48" s="141" t="n"/>
      <c r="U48" s="141" t="n"/>
      <c r="V48" s="141" t="n"/>
      <c r="W48" s="152" t="n"/>
      <c r="X48" s="141" t="n"/>
      <c r="Y48" s="141" t="n"/>
      <c r="Z48" s="141" t="n"/>
      <c r="AA48" s="141" t="n"/>
    </row>
    <row r="49" ht="18" customHeight="1">
      <c r="A49" s="142" t="n"/>
      <c r="B49" s="153" t="inlineStr">
        <is>
          <t>Cu (Cobre)</t>
        </is>
      </c>
      <c r="C49" s="154" t="n">
        <v>0</v>
      </c>
      <c r="D49" s="154" t="n"/>
      <c r="E49" s="154" t="n"/>
      <c r="F49" s="154" t="n"/>
      <c r="G49" s="154" t="n"/>
      <c r="H49" s="154" t="n"/>
      <c r="I49" s="154" t="n"/>
      <c r="J49" s="154" t="n"/>
      <c r="K49" s="154" t="n"/>
      <c r="L49" s="154" t="n"/>
      <c r="M49" s="167" t="n"/>
      <c r="N49" s="164" t="n"/>
      <c r="O49" s="177" t="n"/>
      <c r="P49" s="164" t="n"/>
      <c r="Q49" s="177" t="n"/>
      <c r="R49" s="155" t="n"/>
      <c r="S49" s="151" t="n"/>
      <c r="T49" s="141" t="n"/>
      <c r="U49" s="141" t="n"/>
      <c r="V49" s="141" t="n"/>
      <c r="W49" s="152" t="n"/>
      <c r="X49" s="141" t="n"/>
      <c r="Y49" s="141" t="n"/>
      <c r="Z49" s="141" t="n"/>
      <c r="AA49" s="141" t="n"/>
    </row>
    <row r="50" ht="18" customHeight="1">
      <c r="A50" s="142" t="n"/>
      <c r="B50" s="153" t="inlineStr">
        <is>
          <t>Pb (Plomo)</t>
        </is>
      </c>
      <c r="C50" s="154" t="n">
        <v>0</v>
      </c>
      <c r="D50" s="154" t="n"/>
      <c r="E50" s="154" t="n"/>
      <c r="F50" s="154" t="n"/>
      <c r="G50" s="154" t="n"/>
      <c r="H50" s="154" t="n"/>
      <c r="I50" s="154" t="n"/>
      <c r="J50" s="154" t="n"/>
      <c r="K50" s="154" t="n"/>
      <c r="L50" s="154" t="n"/>
      <c r="M50" s="149" t="n"/>
      <c r="N50" s="164" t="n"/>
      <c r="O50" s="177" t="n"/>
      <c r="P50" s="164" t="n"/>
      <c r="Q50" s="177" t="n"/>
      <c r="R50" s="155" t="n"/>
      <c r="S50" s="151" t="n"/>
      <c r="T50" s="141" t="n"/>
      <c r="U50" s="141" t="n"/>
      <c r="V50" s="141" t="n"/>
      <c r="W50" s="152" t="n"/>
      <c r="X50" s="141" t="n"/>
      <c r="Y50" s="141" t="n"/>
      <c r="Z50" s="141" t="n"/>
      <c r="AA50" s="141" t="n"/>
    </row>
    <row r="51" ht="18" customFormat="1" customHeight="1" s="173">
      <c r="A51" s="171" t="n"/>
      <c r="B51" s="153" t="inlineStr">
        <is>
          <t>Estaño (Sn)</t>
        </is>
      </c>
      <c r="C51" s="154" t="n">
        <v>0</v>
      </c>
      <c r="D51" s="154" t="n"/>
      <c r="E51" s="154" t="n"/>
      <c r="F51" s="154" t="n"/>
      <c r="G51" s="154" t="n"/>
      <c r="H51" s="154" t="n"/>
      <c r="I51" s="154" t="n"/>
      <c r="J51" s="154" t="n"/>
      <c r="K51" s="154" t="n"/>
      <c r="L51" s="154" t="n"/>
      <c r="M51" s="149" t="n"/>
      <c r="N51" s="164" t="n"/>
      <c r="O51" s="177" t="n"/>
      <c r="P51" s="164" t="n"/>
      <c r="Q51" s="177" t="n"/>
      <c r="R51" s="172" t="n"/>
      <c r="S51" s="151" t="n"/>
      <c r="T51" s="141" t="n"/>
      <c r="U51" s="141" t="n"/>
      <c r="V51" s="141" t="n"/>
      <c r="W51" s="152" t="n"/>
      <c r="X51" s="141" t="n"/>
      <c r="Y51" s="141" t="n"/>
      <c r="Z51" s="141" t="n"/>
    </row>
    <row r="52" ht="18" customHeight="1">
      <c r="A52" s="142" t="n"/>
      <c r="B52" s="158" t="n"/>
      <c r="C52" s="158" t="n"/>
      <c r="D52" s="158" t="n"/>
      <c r="E52" s="158" t="n"/>
      <c r="F52" s="158" t="n"/>
      <c r="G52" s="158" t="n"/>
      <c r="H52" s="158" t="n"/>
      <c r="I52" s="158" t="n"/>
      <c r="J52" s="158" t="n"/>
      <c r="K52" s="158" t="n"/>
      <c r="L52" s="158" t="n"/>
      <c r="N52" s="174" t="n"/>
      <c r="O52" s="182" t="n"/>
      <c r="P52" s="183" t="n"/>
      <c r="Q52" s="183" t="n"/>
      <c r="R52" s="155" t="n"/>
      <c r="S52" s="151" t="n"/>
      <c r="T52" s="141" t="n"/>
      <c r="U52" s="141" t="n"/>
      <c r="V52" s="141" t="n"/>
      <c r="W52" s="152" t="n"/>
      <c r="X52" s="141" t="n"/>
      <c r="Y52" s="141" t="n"/>
      <c r="Z52" s="141" t="n"/>
      <c r="AA52" s="141" t="n"/>
    </row>
    <row r="53" ht="18" customFormat="1" customHeight="1" s="173">
      <c r="A53" s="171" t="n"/>
      <c r="B53" s="275" t="inlineStr">
        <is>
          <t>OTROS ELEMENTOS - PPM (mg/kg)</t>
        </is>
      </c>
      <c r="C53" s="446" t="n"/>
      <c r="D53" s="446" t="n"/>
      <c r="E53" s="446" t="n"/>
      <c r="F53" s="446" t="n"/>
      <c r="G53" s="446" t="n"/>
      <c r="H53" s="446" t="n"/>
      <c r="I53" s="446" t="n"/>
      <c r="J53" s="446" t="n"/>
      <c r="K53" s="446" t="n"/>
      <c r="L53" s="447" t="n"/>
      <c r="M53" s="140" t="n"/>
      <c r="N53" s="276" t="inlineStr">
        <is>
          <t>* Rangos Generales</t>
        </is>
      </c>
      <c r="O53" s="436" t="n"/>
      <c r="P53" s="436" t="n"/>
      <c r="Q53" s="437" t="n"/>
      <c r="R53" s="172" t="n"/>
      <c r="S53" s="151" t="n"/>
      <c r="T53" s="141" t="n"/>
      <c r="U53" s="141" t="n"/>
      <c r="V53" s="141" t="n"/>
      <c r="W53" s="152" t="n"/>
      <c r="X53" s="141" t="n"/>
      <c r="Y53" s="141" t="n"/>
      <c r="Z53" s="141" t="n"/>
      <c r="AA53" s="141" t="n"/>
    </row>
    <row r="54" ht="18" customFormat="1" customHeight="1" s="173">
      <c r="A54" s="171" t="n"/>
      <c r="B54" s="448" t="n"/>
      <c r="C54" s="449" t="n"/>
      <c r="D54" s="449" t="n"/>
      <c r="E54" s="449" t="n"/>
      <c r="F54" s="449" t="n"/>
      <c r="G54" s="449" t="n"/>
      <c r="H54" s="449" t="n"/>
      <c r="I54" s="449" t="n"/>
      <c r="J54" s="449" t="n"/>
      <c r="K54" s="449" t="n"/>
      <c r="L54" s="450" t="n"/>
      <c r="M54" s="149" t="n"/>
      <c r="N54" s="276" t="inlineStr">
        <is>
          <t>Precaución</t>
        </is>
      </c>
      <c r="O54" s="437" t="n"/>
      <c r="P54" s="276" t="inlineStr">
        <is>
          <t>Anormal</t>
        </is>
      </c>
      <c r="Q54" s="437" t="n"/>
      <c r="R54" s="172" t="n"/>
      <c r="S54" s="151" t="n"/>
      <c r="T54" s="141" t="n"/>
      <c r="U54" s="141" t="n"/>
      <c r="V54" s="141" t="n"/>
      <c r="W54" s="152" t="n"/>
      <c r="X54" s="141" t="n"/>
      <c r="Y54" s="141" t="n"/>
      <c r="Z54" s="141" t="n"/>
    </row>
    <row r="55" ht="18" customFormat="1" customHeight="1" s="173">
      <c r="A55" s="171" t="n"/>
      <c r="B55" s="153" t="inlineStr">
        <is>
          <t>Mo (Molibdeno)</t>
        </is>
      </c>
      <c r="C55" s="154" t="n">
        <v>0</v>
      </c>
      <c r="D55" s="154" t="n"/>
      <c r="E55" s="154" t="n"/>
      <c r="F55" s="154" t="n"/>
      <c r="G55" s="154" t="n"/>
      <c r="H55" s="154" t="n"/>
      <c r="I55" s="154" t="n"/>
      <c r="J55" s="154" t="n"/>
      <c r="K55" s="154" t="n"/>
      <c r="L55" s="154" t="n"/>
      <c r="M55" s="149" t="n"/>
      <c r="N55" s="164" t="n"/>
      <c r="O55" s="178" t="n"/>
      <c r="P55" s="164" t="n"/>
      <c r="Q55" s="178" t="n"/>
      <c r="R55" s="172" t="n"/>
      <c r="S55" s="151" t="n"/>
      <c r="T55" s="141" t="n"/>
      <c r="U55" s="141" t="n"/>
      <c r="V55" s="141" t="n"/>
      <c r="W55" s="152" t="n"/>
      <c r="X55" s="141" t="n"/>
      <c r="Y55" s="141" t="n"/>
      <c r="Z55" s="141" t="n"/>
    </row>
    <row r="56" ht="18" customFormat="1" customHeight="1" s="173">
      <c r="A56" s="171" t="n"/>
      <c r="B56" s="153" t="inlineStr">
        <is>
          <t>B (Boro)</t>
        </is>
      </c>
      <c r="C56" s="154" t="n">
        <v>0</v>
      </c>
      <c r="D56" s="154" t="n"/>
      <c r="E56" s="154" t="n"/>
      <c r="F56" s="154" t="n"/>
      <c r="G56" s="154" t="n"/>
      <c r="H56" s="154" t="n"/>
      <c r="I56" s="154" t="n"/>
      <c r="J56" s="154" t="n"/>
      <c r="K56" s="154" t="n"/>
      <c r="L56" s="154" t="n"/>
      <c r="M56" s="149" t="n"/>
      <c r="N56" s="164" t="n"/>
      <c r="O56" s="178" t="n"/>
      <c r="P56" s="164" t="n"/>
      <c r="Q56" s="178" t="n"/>
      <c r="R56" s="172" t="n"/>
      <c r="S56" s="151" t="n"/>
      <c r="T56" s="141" t="n"/>
      <c r="U56" s="141" t="n"/>
      <c r="V56" s="141" t="n"/>
      <c r="W56" s="152" t="n"/>
      <c r="X56" s="141" t="n"/>
      <c r="Y56" s="141" t="n"/>
      <c r="Z56" s="141" t="n"/>
    </row>
    <row r="57" ht="18" customFormat="1" customHeight="1" s="173">
      <c r="A57" s="171" t="n"/>
      <c r="B57" s="153" t="inlineStr">
        <is>
          <t>Ba (Bario)</t>
        </is>
      </c>
      <c r="C57" s="154" t="n">
        <v>0</v>
      </c>
      <c r="D57" s="154" t="n"/>
      <c r="E57" s="154" t="n"/>
      <c r="F57" s="154" t="n"/>
      <c r="G57" s="154" t="n"/>
      <c r="H57" s="154" t="n"/>
      <c r="I57" s="154" t="n"/>
      <c r="J57" s="154" t="n"/>
      <c r="K57" s="154" t="n"/>
      <c r="L57" s="154" t="n"/>
      <c r="M57" s="149" t="n"/>
      <c r="N57" s="164" t="n"/>
      <c r="O57" s="178" t="n"/>
      <c r="P57" s="164" t="n"/>
      <c r="Q57" s="178" t="n"/>
      <c r="R57" s="172" t="n"/>
      <c r="S57" s="151" t="n"/>
      <c r="T57" s="141" t="n"/>
      <c r="U57" s="141" t="n"/>
      <c r="V57" s="141" t="n"/>
      <c r="W57" s="152" t="n"/>
      <c r="X57" s="141" t="n"/>
      <c r="Y57" s="141" t="n"/>
      <c r="Z57" s="141" t="n"/>
    </row>
    <row r="58" ht="18" customFormat="1" customHeight="1" s="173">
      <c r="A58" s="171" t="n"/>
      <c r="B58" s="153" t="inlineStr">
        <is>
          <t>Ti (Titaniao)</t>
        </is>
      </c>
      <c r="C58" s="154" t="n">
        <v>0</v>
      </c>
      <c r="D58" s="154" t="n"/>
      <c r="E58" s="154" t="n"/>
      <c r="F58" s="154" t="n"/>
      <c r="G58" s="154" t="n"/>
      <c r="H58" s="154" t="n"/>
      <c r="I58" s="154" t="n"/>
      <c r="J58" s="154" t="n"/>
      <c r="K58" s="154" t="n"/>
      <c r="L58" s="154" t="n"/>
      <c r="M58" s="140" t="n"/>
      <c r="N58" s="164" t="n"/>
      <c r="O58" s="178" t="n"/>
      <c r="P58" s="164" t="n"/>
      <c r="Q58" s="178" t="n"/>
      <c r="R58" s="172" t="n"/>
      <c r="S58" s="151" t="n"/>
      <c r="T58" s="141" t="n"/>
      <c r="U58" s="141" t="n"/>
      <c r="V58" s="141" t="n"/>
      <c r="W58" s="152" t="n"/>
      <c r="X58" s="141" t="n"/>
      <c r="Y58" s="141" t="n"/>
      <c r="Z58" s="141" t="n"/>
      <c r="AA58" s="141" t="n"/>
    </row>
    <row r="59" ht="18" customFormat="1" customHeight="1" s="173">
      <c r="A59" s="171" t="n"/>
      <c r="B59" s="153" t="inlineStr">
        <is>
          <t>Ag (Plata)</t>
        </is>
      </c>
      <c r="C59" s="154" t="n">
        <v>0</v>
      </c>
      <c r="D59" s="154" t="n"/>
      <c r="E59" s="154" t="n"/>
      <c r="F59" s="154" t="n"/>
      <c r="G59" s="154" t="n"/>
      <c r="H59" s="154" t="n"/>
      <c r="I59" s="154" t="n"/>
      <c r="J59" s="154" t="n"/>
      <c r="K59" s="154" t="n"/>
      <c r="L59" s="154" t="n"/>
      <c r="M59" s="149" t="n"/>
      <c r="N59" s="164" t="n"/>
      <c r="O59" s="178" t="n"/>
      <c r="P59" s="164" t="n"/>
      <c r="Q59" s="178" t="n"/>
      <c r="R59" s="172" t="n"/>
      <c r="S59" s="151" t="n"/>
      <c r="T59" s="141" t="n"/>
      <c r="U59" s="141" t="n"/>
      <c r="V59" s="141" t="n"/>
      <c r="W59" s="152" t="n"/>
      <c r="X59" s="141" t="n"/>
      <c r="Y59" s="141" t="n"/>
      <c r="Z59" s="141" t="n"/>
      <c r="AA59" s="141" t="n"/>
    </row>
    <row r="60" ht="18" customFormat="1" customHeight="1" s="173">
      <c r="A60" s="171" t="n"/>
      <c r="B60" s="158" t="n"/>
      <c r="C60" s="158" t="n"/>
      <c r="D60" s="158" t="n"/>
      <c r="E60" s="158" t="n"/>
      <c r="F60" s="158" t="n"/>
      <c r="G60" s="158" t="n"/>
      <c r="H60" s="158" t="n"/>
      <c r="I60" s="158" t="n"/>
      <c r="J60" s="158" t="n"/>
      <c r="K60" s="158" t="n"/>
      <c r="L60" s="158" t="n"/>
      <c r="M60" s="141" t="n"/>
      <c r="N60" s="141" t="n"/>
      <c r="O60" s="141" t="n"/>
      <c r="P60" s="141" t="n"/>
      <c r="Q60" s="141" t="n"/>
      <c r="R60" s="172" t="n"/>
      <c r="S60" s="151" t="n"/>
      <c r="T60" s="141" t="n"/>
      <c r="U60" s="141" t="n"/>
      <c r="V60" s="141" t="n"/>
      <c r="W60" s="152" t="n"/>
      <c r="X60" s="141" t="n"/>
      <c r="Y60" s="141" t="n"/>
      <c r="Z60" s="141" t="n"/>
      <c r="AA60" s="141" t="n"/>
    </row>
    <row r="61" ht="18" customFormat="1" customHeight="1" s="173">
      <c r="A61" s="171" t="n"/>
      <c r="B61" s="275" t="inlineStr">
        <is>
          <t>PRESENCIA DE ADITIVOS - PPM (mg/kg)</t>
        </is>
      </c>
      <c r="C61" s="446" t="n"/>
      <c r="D61" s="446" t="n"/>
      <c r="E61" s="446" t="n"/>
      <c r="F61" s="446" t="n"/>
      <c r="G61" s="446" t="n"/>
      <c r="H61" s="446" t="n"/>
      <c r="I61" s="446" t="n"/>
      <c r="J61" s="446" t="n"/>
      <c r="K61" s="446" t="n"/>
      <c r="L61" s="447" t="n"/>
      <c r="M61" s="141" t="n"/>
      <c r="N61" s="141" t="n"/>
      <c r="O61" s="141" t="n"/>
      <c r="P61" s="141" t="n"/>
      <c r="Q61" s="141" t="n"/>
      <c r="R61" s="172" t="n"/>
      <c r="S61" s="151" t="n"/>
      <c r="T61" s="141" t="n"/>
      <c r="U61" s="141" t="n"/>
      <c r="V61" s="141" t="n"/>
      <c r="W61" s="152" t="n"/>
      <c r="X61" s="141" t="n"/>
      <c r="Y61" s="141" t="n"/>
      <c r="Z61" s="141" t="n"/>
      <c r="AA61" s="141" t="n"/>
    </row>
    <row r="62" ht="18" customHeight="1">
      <c r="A62" s="142" t="n"/>
      <c r="B62" s="448" t="n"/>
      <c r="C62" s="449" t="n"/>
      <c r="D62" s="449" t="n"/>
      <c r="E62" s="449" t="n"/>
      <c r="F62" s="449" t="n"/>
      <c r="G62" s="449" t="n"/>
      <c r="H62" s="449" t="n"/>
      <c r="I62" s="449" t="n"/>
      <c r="J62" s="449" t="n"/>
      <c r="K62" s="449" t="n"/>
      <c r="L62" s="450" t="n"/>
      <c r="M62" s="141" t="n"/>
      <c r="N62" s="141" t="n"/>
      <c r="O62" s="141" t="n"/>
      <c r="P62" s="141" t="n"/>
      <c r="Q62" s="141" t="n"/>
      <c r="R62" s="155" t="n"/>
      <c r="S62" s="151" t="n"/>
      <c r="T62" s="141" t="n"/>
      <c r="U62" s="141" t="n"/>
      <c r="V62" s="141" t="n"/>
      <c r="W62" s="152" t="n"/>
      <c r="X62" s="141" t="n"/>
      <c r="Y62" s="141" t="n"/>
      <c r="Z62" s="141" t="n"/>
      <c r="AA62" s="141" t="n"/>
    </row>
    <row r="63" ht="18" customHeight="1">
      <c r="A63" s="142" t="n"/>
      <c r="B63" s="153" t="inlineStr">
        <is>
          <t>Ca (Calcio)</t>
        </is>
      </c>
      <c r="C63" s="154" t="n">
        <v>0</v>
      </c>
      <c r="D63" s="154" t="n"/>
      <c r="E63" s="154" t="n"/>
      <c r="F63" s="154" t="n"/>
      <c r="G63" s="154" t="n"/>
      <c r="H63" s="154" t="n"/>
      <c r="I63" s="154" t="n"/>
      <c r="J63" s="154" t="n"/>
      <c r="K63" s="154" t="n"/>
      <c r="L63" s="154" t="n"/>
      <c r="M63" s="141" t="n"/>
      <c r="N63" s="141" t="n"/>
      <c r="O63" s="141" t="n"/>
      <c r="P63" s="141" t="n"/>
      <c r="Q63" s="141" t="n"/>
      <c r="R63" s="155" t="n"/>
      <c r="S63" s="151" t="n"/>
      <c r="T63" s="141" t="n"/>
      <c r="U63" s="141" t="n"/>
      <c r="V63" s="141" t="n"/>
      <c r="W63" s="152" t="n"/>
      <c r="X63" s="141" t="n"/>
      <c r="Y63" s="141" t="n"/>
      <c r="Z63" s="141" t="n"/>
      <c r="AA63" s="141" t="n"/>
    </row>
    <row r="64" ht="18" customHeight="1">
      <c r="A64" s="142" t="n"/>
      <c r="B64" s="153" t="inlineStr">
        <is>
          <t>Mg (Magnesio)</t>
        </is>
      </c>
      <c r="C64" s="154" t="n">
        <v>0</v>
      </c>
      <c r="D64" s="154" t="n"/>
      <c r="E64" s="154" t="n"/>
      <c r="F64" s="154" t="n"/>
      <c r="G64" s="154" t="n"/>
      <c r="H64" s="154" t="n"/>
      <c r="I64" s="154" t="n"/>
      <c r="J64" s="154" t="n"/>
      <c r="K64" s="154" t="n"/>
      <c r="L64" s="154" t="n"/>
      <c r="M64" s="141" t="n"/>
      <c r="N64" s="141" t="n"/>
      <c r="O64" s="141" t="n"/>
      <c r="P64" s="141" t="n"/>
      <c r="Q64" s="141" t="n"/>
      <c r="R64" s="155" t="n"/>
      <c r="S64" s="151" t="n"/>
      <c r="T64" s="141" t="n"/>
      <c r="U64" s="141" t="n"/>
      <c r="V64" s="141" t="n"/>
      <c r="W64" s="152" t="n"/>
      <c r="X64" s="141" t="n"/>
      <c r="Y64" s="141" t="n"/>
      <c r="Z64" s="141" t="n"/>
      <c r="AA64" s="141" t="n"/>
    </row>
    <row r="65" ht="18" customHeight="1">
      <c r="A65" s="142" t="n"/>
      <c r="B65" s="153" t="inlineStr">
        <is>
          <t>Zn (Zinc)</t>
        </is>
      </c>
      <c r="C65" s="154" t="n">
        <v>0</v>
      </c>
      <c r="D65" s="154" t="n"/>
      <c r="E65" s="154" t="n"/>
      <c r="F65" s="154" t="n"/>
      <c r="G65" s="154" t="n"/>
      <c r="H65" s="154" t="n"/>
      <c r="I65" s="154" t="n"/>
      <c r="J65" s="154" t="n"/>
      <c r="K65" s="154" t="n"/>
      <c r="L65" s="154" t="n"/>
      <c r="M65" s="141" t="n"/>
      <c r="N65" s="141" t="n"/>
      <c r="O65" s="141" t="n"/>
      <c r="P65" s="141" t="n"/>
      <c r="Q65" s="141" t="n"/>
      <c r="R65" s="155" t="n"/>
      <c r="S65" s="151" t="n"/>
      <c r="T65" s="141" t="n"/>
      <c r="U65" s="141" t="n"/>
      <c r="V65" s="141" t="n"/>
      <c r="W65" s="152" t="n"/>
      <c r="X65" s="141" t="n"/>
      <c r="Y65" s="141" t="n"/>
      <c r="Z65" s="141" t="n"/>
      <c r="AA65" s="141" t="n"/>
    </row>
    <row r="66" ht="18" customHeight="1">
      <c r="A66" s="142" t="n"/>
      <c r="B66" s="153" t="inlineStr">
        <is>
          <t>P (Fosforo)</t>
        </is>
      </c>
      <c r="C66" s="154" t="n">
        <v>0</v>
      </c>
      <c r="D66" s="154" t="n"/>
      <c r="E66" s="154" t="n"/>
      <c r="F66" s="154" t="n"/>
      <c r="G66" s="154" t="n"/>
      <c r="H66" s="154" t="n"/>
      <c r="I66" s="154" t="n"/>
      <c r="J66" s="154" t="n"/>
      <c r="K66" s="154" t="n"/>
      <c r="L66" s="154" t="n"/>
      <c r="M66" s="141" t="n"/>
      <c r="N66" s="141" t="n"/>
      <c r="O66" s="141" t="n"/>
      <c r="P66" s="141" t="n"/>
      <c r="Q66" s="141" t="n"/>
      <c r="R66" s="155" t="n"/>
      <c r="S66" s="151" t="n"/>
      <c r="T66" s="141" t="n"/>
      <c r="U66" s="141" t="n"/>
      <c r="V66" s="141" t="n"/>
      <c r="W66" s="152" t="n"/>
      <c r="X66" s="141" t="n"/>
      <c r="Y66" s="141" t="n"/>
      <c r="Z66" s="141" t="n"/>
      <c r="AA66" s="141" t="n"/>
    </row>
    <row r="67" ht="18" customHeight="1" thickBot="1">
      <c r="A67" s="184" t="n"/>
      <c r="B67" s="185" t="n"/>
      <c r="C67" s="185" t="n"/>
      <c r="D67" s="185" t="n"/>
      <c r="E67" s="185" t="n"/>
      <c r="F67" s="185" t="n"/>
      <c r="G67" s="185" t="n"/>
      <c r="H67" s="185" t="n"/>
      <c r="I67" s="185" t="n"/>
      <c r="J67" s="185" t="n"/>
      <c r="K67" s="185" t="n"/>
      <c r="L67" s="185" t="n"/>
      <c r="M67" s="186" t="n"/>
      <c r="N67" s="186" t="n"/>
      <c r="O67" s="187" t="n"/>
      <c r="P67" s="187" t="n"/>
      <c r="Q67" s="187" t="n"/>
      <c r="R67" s="188" t="n"/>
      <c r="S67" s="151" t="n"/>
      <c r="T67" s="141" t="n"/>
      <c r="U67" s="141" t="n"/>
      <c r="V67" s="141" t="n"/>
      <c r="W67" s="152" t="n"/>
      <c r="X67" s="141" t="n"/>
      <c r="Y67" s="141" t="n"/>
      <c r="Z67" s="141" t="n"/>
      <c r="AA67" s="141" t="n"/>
    </row>
    <row r="68" ht="15" customHeight="1">
      <c r="A68" s="189" t="n"/>
      <c r="B68" s="190" t="n"/>
      <c r="C68" s="190" t="n"/>
      <c r="D68" s="190" t="n"/>
      <c r="E68" s="190" t="n"/>
      <c r="F68" s="190" t="n"/>
      <c r="G68" s="190" t="n"/>
      <c r="H68" s="190" t="n"/>
      <c r="I68" s="190" t="n"/>
      <c r="J68" s="190" t="n"/>
      <c r="K68" s="190" t="n"/>
      <c r="L68" s="190" t="n"/>
      <c r="M68" s="190" t="n"/>
      <c r="N68" s="190" t="n"/>
      <c r="O68" s="190" t="n"/>
      <c r="P68" s="190" t="n"/>
      <c r="Q68" s="190" t="n"/>
      <c r="R68" s="190" t="n"/>
      <c r="S68" s="190" t="n"/>
      <c r="T68" s="190" t="n"/>
      <c r="U68" s="190" t="n"/>
      <c r="V68" s="190" t="n"/>
      <c r="W68" s="191" t="n"/>
      <c r="X68" s="141" t="n"/>
      <c r="Y68" s="141" t="n"/>
      <c r="Z68" s="141" t="n"/>
      <c r="AA68" s="141" t="n"/>
    </row>
    <row r="69" ht="15" customHeight="1">
      <c r="A69" s="142" t="n"/>
      <c r="B69" s="149" t="inlineStr">
        <is>
          <t>ELABORADO POR:</t>
        </is>
      </c>
      <c r="D69" s="149" t="inlineStr">
        <is>
          <t>REVISADO POR:</t>
        </is>
      </c>
      <c r="E69" s="149" t="n"/>
      <c r="F69" s="149" t="n"/>
      <c r="W69" s="155" t="n"/>
      <c r="X69" s="141" t="n"/>
      <c r="Y69" s="141" t="n"/>
      <c r="Z69" s="141" t="n"/>
      <c r="AA69" s="141" t="n"/>
    </row>
    <row r="70" ht="42" customHeight="1">
      <c r="A70" s="142" t="n"/>
      <c r="G70" s="141" t="n"/>
      <c r="H70" s="141" t="n"/>
      <c r="I70" s="141" t="n"/>
      <c r="J70" s="141" t="n"/>
      <c r="K70" s="141" t="n"/>
      <c r="L70" s="141" t="n"/>
      <c r="W70" s="155" t="n"/>
      <c r="X70" s="141" t="n"/>
      <c r="Y70" s="141" t="n"/>
      <c r="Z70" s="141" t="n"/>
      <c r="AA70" s="141" t="n"/>
    </row>
    <row r="71" ht="41.25" customHeight="1" thickBot="1">
      <c r="A71" s="142" t="n"/>
      <c r="B71" s="192" t="n"/>
      <c r="D71" s="192" t="n"/>
      <c r="E71" s="192" t="n"/>
      <c r="F71" s="192" t="n"/>
      <c r="G71" s="141" t="n"/>
      <c r="H71" s="141" t="n"/>
      <c r="I71" s="141" t="n"/>
      <c r="J71" s="141" t="n"/>
      <c r="K71" s="141" t="n"/>
      <c r="L71" s="141" t="n"/>
      <c r="W71" s="155" t="n"/>
      <c r="X71" s="141" t="n"/>
      <c r="Y71" s="141" t="n"/>
      <c r="Z71" s="141" t="n"/>
      <c r="AA71" s="141" t="n"/>
    </row>
    <row r="72" ht="15" customHeight="1">
      <c r="A72" s="142" t="n"/>
      <c r="B72" s="149" t="inlineStr">
        <is>
          <t>Analista Autorizado</t>
        </is>
      </c>
      <c r="D72" s="149" t="inlineStr">
        <is>
          <t>Jefe de Servicio Post Venta</t>
        </is>
      </c>
      <c r="E72" s="149" t="n"/>
      <c r="F72" s="149" t="n"/>
      <c r="W72" s="155" t="n"/>
      <c r="X72" s="141" t="n"/>
      <c r="Y72" s="141" t="n"/>
      <c r="Z72" s="141" t="n"/>
      <c r="AA72" s="141" t="n"/>
    </row>
    <row r="73" ht="15" customHeight="1">
      <c r="A73" s="142" t="n"/>
      <c r="B73" s="149" t="inlineStr">
        <is>
          <t>Dpto. Laboratorio</t>
        </is>
      </c>
      <c r="D73" s="149" t="inlineStr">
        <is>
          <t>Dpto. Técnico y Laboratorio</t>
        </is>
      </c>
      <c r="E73" s="149" t="n"/>
      <c r="F73" s="149" t="n"/>
      <c r="W73" s="155" t="n"/>
      <c r="X73" s="141" t="n"/>
      <c r="Y73" s="141" t="n"/>
      <c r="Z73" s="141" t="n"/>
      <c r="AA73" s="141" t="n"/>
    </row>
    <row r="74" ht="12.75" customHeight="1" thickBot="1">
      <c r="A74" s="184" t="n"/>
      <c r="B74" s="193" t="inlineStr">
        <is>
          <t>Lubricantes Internacionales S.A.</t>
        </is>
      </c>
      <c r="C74" s="192" t="n"/>
      <c r="D74" s="193" t="inlineStr">
        <is>
          <t>Lubricantes Internacionales S.A.</t>
        </is>
      </c>
      <c r="E74" s="193" t="n"/>
      <c r="F74" s="193" t="n"/>
      <c r="G74" s="192" t="n"/>
      <c r="H74" s="192" t="n"/>
      <c r="I74" s="192" t="n"/>
      <c r="J74" s="192" t="n"/>
      <c r="K74" s="192" t="n"/>
      <c r="L74" s="192" t="n"/>
      <c r="M74" s="192" t="n"/>
      <c r="N74" s="192" t="n"/>
      <c r="O74" s="192" t="n"/>
      <c r="P74" s="192" t="n"/>
      <c r="Q74" s="192" t="n"/>
      <c r="R74" s="192" t="n"/>
      <c r="S74" s="192" t="n"/>
      <c r="T74" s="192" t="n"/>
      <c r="U74" s="192" t="n"/>
      <c r="V74" s="192" t="n"/>
      <c r="W74" s="188" t="n"/>
    </row>
    <row r="75" ht="15.75" customHeight="1" thickBot="1">
      <c r="A75" s="184" t="n"/>
      <c r="B75" s="194" t="inlineStr">
        <is>
          <t>VEN-FOR-006D  VERSION:1 FECHA 2021-SEPT-14</t>
        </is>
      </c>
      <c r="C75" s="192" t="n"/>
      <c r="D75" s="192" t="n"/>
      <c r="E75" s="192" t="n"/>
      <c r="F75" s="192" t="n"/>
      <c r="G75" s="192" t="n"/>
      <c r="H75" s="192" t="n"/>
      <c r="I75" s="192" t="n"/>
      <c r="J75" s="192" t="n"/>
      <c r="K75" s="192" t="n"/>
      <c r="L75" s="192" t="n"/>
      <c r="M75" s="192" t="n"/>
      <c r="N75" s="192" t="n"/>
      <c r="O75" s="192" t="n"/>
      <c r="P75" s="192" t="n"/>
      <c r="Q75" s="192" t="n"/>
      <c r="R75" s="192" t="n"/>
      <c r="S75" s="192" t="n"/>
      <c r="T75" s="192" t="n"/>
      <c r="U75" s="192" t="n"/>
      <c r="V75" s="192" t="n"/>
      <c r="W75" s="192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AuJ5rNuh49eUUYRT6SJN0A==" formatRows="1" sort="1" spinCount="100000" hashValue="IviHoKgKbTsfUgb/7R74yvZy+DQ/U4irddAgrs1S00bJXBsqjqbfI+0lJcsq50c16lFJwMjxiGsnAc7rideZZw=="/>
  <mergeCells count="47">
    <mergeCell ref="P26:Q26"/>
    <mergeCell ref="H3:K3"/>
    <mergeCell ref="P38:Q38"/>
    <mergeCell ref="N54:O54"/>
    <mergeCell ref="C2:G3"/>
    <mergeCell ref="B37:L38"/>
    <mergeCell ref="B10:L11"/>
    <mergeCell ref="L6:R6"/>
    <mergeCell ref="N30:Q30"/>
    <mergeCell ref="P31:Q31"/>
    <mergeCell ref="B44:L45"/>
    <mergeCell ref="B53:L54"/>
    <mergeCell ref="H5:K5"/>
    <mergeCell ref="A1:W1"/>
    <mergeCell ref="N21:O21"/>
    <mergeCell ref="C4:G8"/>
    <mergeCell ref="S2:W2"/>
    <mergeCell ref="H8:K8"/>
    <mergeCell ref="P21:Q21"/>
    <mergeCell ref="L2:R2"/>
    <mergeCell ref="N20:Q20"/>
    <mergeCell ref="B20:L21"/>
    <mergeCell ref="L7:R7"/>
    <mergeCell ref="S5:W8"/>
    <mergeCell ref="B30:L31"/>
    <mergeCell ref="N25:Q25"/>
    <mergeCell ref="H4:K4"/>
    <mergeCell ref="N37:Q37"/>
    <mergeCell ref="N53:Q53"/>
    <mergeCell ref="N38:O38"/>
    <mergeCell ref="L3:R3"/>
    <mergeCell ref="H6:K6"/>
    <mergeCell ref="S3:W4"/>
    <mergeCell ref="P28:Q28"/>
    <mergeCell ref="N31:O31"/>
    <mergeCell ref="B9:O9"/>
    <mergeCell ref="L5:R5"/>
    <mergeCell ref="B61:L62"/>
    <mergeCell ref="A2:B8"/>
    <mergeCell ref="L8:R8"/>
    <mergeCell ref="L4:R4"/>
    <mergeCell ref="N44:Q44"/>
    <mergeCell ref="H2:K2"/>
    <mergeCell ref="H7:K7"/>
    <mergeCell ref="N45:O45"/>
    <mergeCell ref="P45:Q45"/>
    <mergeCell ref="P54:Q54"/>
  </mergeCells>
  <conditionalFormatting sqref="C22">
    <cfRule type="cellIs" priority="60" operator="greaterThan" dxfId="0" stopIfTrue="1">
      <formula>$Q$22</formula>
    </cfRule>
    <cfRule type="cellIs" priority="59" operator="lessThan" dxfId="0" stopIfTrue="1">
      <formula>$O$22</formula>
    </cfRule>
  </conditionalFormatting>
  <conditionalFormatting sqref="C23">
    <cfRule type="cellIs" priority="57" operator="lessThan" dxfId="0" stopIfTrue="1">
      <formula>$O$23</formula>
    </cfRule>
    <cfRule type="cellIs" priority="58" operator="greaterThan" dxfId="0" stopIfTrue="1">
      <formula>$Q$23</formula>
    </cfRule>
  </conditionalFormatting>
  <conditionalFormatting sqref="C18:L18">
    <cfRule type="containsText" priority="24" operator="containsText" dxfId="2" stopIfTrue="1" text="ANORMAL">
      <formula>NOT(ISERROR(SEARCH("ANORMAL",C18)))</formula>
    </cfRule>
    <cfRule type="containsText" priority="25" operator="containsText" dxfId="3" stopIfTrue="1" text="N/D">
      <formula>NOT(ISERROR(SEARCH("N/D",C18)))</formula>
    </cfRule>
    <cfRule type="containsText" priority="26" operator="containsText" dxfId="0" stopIfTrue="1" text="PRECAUCIÓN">
      <formula>NOT(ISERROR(SEARCH("PRECAUCIÓN",C18)))</formula>
    </cfRule>
    <cfRule type="containsText" priority="27" operator="containsText" dxfId="1" stopIfTrue="1" text="NORMAL">
      <formula>NOT(ISERROR(SEARCH("NORMAL",C18)))</formula>
    </cfRule>
  </conditionalFormatting>
  <conditionalFormatting sqref="C26:L26">
    <cfRule type="cellIs" priority="8" operator="equal" dxfId="2" stopIfTrue="1">
      <formula>"POSITIVO"</formula>
    </cfRule>
  </conditionalFormatting>
  <conditionalFormatting sqref="C27:L27">
    <cfRule type="cellIs" priority="11" operator="greaterThanOrEqual" dxfId="2" stopIfTrue="1">
      <formula>$Q$27</formula>
    </cfRule>
  </conditionalFormatting>
  <conditionalFormatting sqref="C28:L28">
    <cfRule type="cellIs" priority="7" operator="equal" dxfId="2" stopIfTrue="1">
      <formula>"POSITIVO"</formula>
    </cfRule>
  </conditionalFormatting>
  <conditionalFormatting sqref="C32:L32">
    <cfRule type="cellIs" priority="84" operator="greaterThanOrEqual" dxfId="2" stopIfTrue="1">
      <formula>$Q$32</formula>
    </cfRule>
    <cfRule type="cellIs" priority="85" operator="between" dxfId="0" stopIfTrue="1">
      <formula>$O$32</formula>
      <formula>$Q$32</formula>
    </cfRule>
  </conditionalFormatting>
  <conditionalFormatting sqref="C33:L33">
    <cfRule type="cellIs" priority="3" operator="greaterThanOrEqual" dxfId="2" stopIfTrue="1">
      <formula>$Q$33</formula>
    </cfRule>
    <cfRule type="cellIs" priority="4" operator="between" dxfId="0" stopIfTrue="1">
      <formula>$O$33</formula>
      <formula>$Q$33</formula>
    </cfRule>
  </conditionalFormatting>
  <conditionalFormatting sqref="C34:L34">
    <cfRule type="cellIs" priority="5" operator="greaterThanOrEqual" dxfId="2" stopIfTrue="1">
      <formula>$Q$34</formula>
    </cfRule>
    <cfRule type="cellIs" priority="6" operator="between" dxfId="0" stopIfTrue="1">
      <formula>$O$34</formula>
      <formula>$Q$34</formula>
    </cfRule>
  </conditionalFormatting>
  <conditionalFormatting sqref="C35:L35">
    <cfRule type="cellIs" priority="2" operator="between" dxfId="0" stopIfTrue="1">
      <formula>$O$35</formula>
      <formula>$Q$35</formula>
    </cfRule>
    <cfRule type="cellIs" priority="1" operator="greaterThanOrEqual" dxfId="2" stopIfTrue="1">
      <formula>$Q$35</formula>
    </cfRule>
  </conditionalFormatting>
  <conditionalFormatting sqref="C39:L39">
    <cfRule type="cellIs" priority="71" operator="greaterThanOrEqual" dxfId="2" stopIfTrue="1">
      <formula>$Q$39</formula>
    </cfRule>
    <cfRule type="cellIs" priority="72" operator="between" dxfId="0" stopIfTrue="1">
      <formula>$O$39</formula>
      <formula>$Q$39</formula>
    </cfRule>
  </conditionalFormatting>
  <conditionalFormatting sqref="C40:L40">
    <cfRule type="cellIs" priority="69" operator="greaterThanOrEqual" dxfId="2" stopIfTrue="1">
      <formula>$Q$40</formula>
    </cfRule>
    <cfRule type="cellIs" priority="70" operator="between" dxfId="0" stopIfTrue="1">
      <formula>$O$40</formula>
      <formula>$Q$40</formula>
    </cfRule>
  </conditionalFormatting>
  <conditionalFormatting sqref="C41:L41">
    <cfRule type="cellIs" priority="16" operator="greaterThanOrEqual" dxfId="2" stopIfTrue="1">
      <formula>$Q$41</formula>
    </cfRule>
    <cfRule type="cellIs" priority="17" operator="between" dxfId="0" stopIfTrue="1">
      <formula>$O$41</formula>
      <formula>$Q$41</formula>
    </cfRule>
  </conditionalFormatting>
  <conditionalFormatting sqref="C42:L42">
    <cfRule type="cellIs" priority="14" operator="greaterThanOrEqual" dxfId="2" stopIfTrue="1">
      <formula>$Q$42</formula>
    </cfRule>
    <cfRule type="cellIs" priority="15" operator="between" dxfId="0" stopIfTrue="1">
      <formula>$O$42</formula>
      <formula>$Q$42</formula>
    </cfRule>
  </conditionalFormatting>
  <conditionalFormatting sqref="C46:L46">
    <cfRule type="cellIs" priority="12" operator="greaterThanOrEqual" dxfId="2" stopIfTrue="1">
      <formula>$Q$46</formula>
    </cfRule>
    <cfRule type="cellIs" priority="13" operator="between" dxfId="0" stopIfTrue="1">
      <formula>$O$46</formula>
      <formula>$Q$46</formula>
    </cfRule>
  </conditionalFormatting>
  <conditionalFormatting sqref="C47:L47">
    <cfRule type="cellIs" priority="80" operator="between" dxfId="0" stopIfTrue="1">
      <formula>$O$47</formula>
      <formula>$Q$47</formula>
    </cfRule>
    <cfRule type="cellIs" priority="79" operator="greaterThanOrEqual" dxfId="2" stopIfTrue="1">
      <formula>$Q$47</formula>
    </cfRule>
  </conditionalFormatting>
  <conditionalFormatting sqref="C48:L48">
    <cfRule type="cellIs" priority="81" operator="greaterThanOrEqual" dxfId="2" stopIfTrue="1">
      <formula>$Q$48</formula>
    </cfRule>
    <cfRule type="cellIs" priority="82" operator="between" dxfId="0" stopIfTrue="1">
      <formula>$O$48</formula>
      <formula>$Q$48</formula>
    </cfRule>
  </conditionalFormatting>
  <conditionalFormatting sqref="C49:L49">
    <cfRule type="cellIs" priority="77" operator="greaterThanOrEqual" dxfId="2" stopIfTrue="1">
      <formula>$Q$49</formula>
    </cfRule>
    <cfRule type="cellIs" priority="78" operator="between" dxfId="0" stopIfTrue="1">
      <formula>$O$49</formula>
      <formula>$Q$49</formula>
    </cfRule>
  </conditionalFormatting>
  <conditionalFormatting sqref="C50:L50">
    <cfRule type="cellIs" priority="75" operator="greaterThanOrEqual" dxfId="2" stopIfTrue="1">
      <formula>$Q$50</formula>
    </cfRule>
    <cfRule type="cellIs" priority="76" operator="between" dxfId="0" stopIfTrue="1">
      <formula>$O$50</formula>
      <formula>$Q$50</formula>
    </cfRule>
  </conditionalFormatting>
  <conditionalFormatting sqref="C51:L51">
    <cfRule type="cellIs" priority="73" operator="greaterThanOrEqual" dxfId="2" stopIfTrue="1">
      <formula>$Q$51</formula>
    </cfRule>
    <cfRule type="cellIs" priority="74" operator="between" dxfId="0" stopIfTrue="1">
      <formula>$O$51</formula>
      <formula>$Q$51</formula>
    </cfRule>
  </conditionalFormatting>
  <conditionalFormatting sqref="C55:L55">
    <cfRule type="cellIs" priority="65" operator="greaterThanOrEqual" dxfId="2" stopIfTrue="1">
      <formula>$Q$55</formula>
    </cfRule>
  </conditionalFormatting>
  <conditionalFormatting sqref="C56:L56">
    <cfRule type="cellIs" priority="64" operator="greaterThanOrEqual" dxfId="2" stopIfTrue="1">
      <formula>$Q$56</formula>
    </cfRule>
  </conditionalFormatting>
  <conditionalFormatting sqref="C57:L57">
    <cfRule type="cellIs" priority="63" operator="greaterThanOrEqual" dxfId="2" stopIfTrue="1">
      <formula>$Q$57</formula>
    </cfRule>
  </conditionalFormatting>
  <conditionalFormatting sqref="C58:L58">
    <cfRule type="cellIs" priority="61" operator="greaterThanOrEqual" dxfId="2" stopIfTrue="1">
      <formula>$Q$58</formula>
    </cfRule>
  </conditionalFormatting>
  <conditionalFormatting sqref="C59:L59">
    <cfRule type="cellIs" priority="62" operator="greaterThanOrEqual" dxfId="2" stopIfTrue="1">
      <formula>$Q$59</formula>
    </cfRule>
  </conditionalFormatting>
  <conditionalFormatting sqref="S3">
    <cfRule type="containsText" priority="18" operator="containsText" dxfId="3" stopIfTrue="1" text="SIN EVALUACIÓN">
      <formula>NOT(ISERROR(SEARCH("SIN EVALUACIÓN",S3)))</formula>
    </cfRule>
    <cfRule type="containsText" priority="21" operator="containsText" dxfId="2" stopIfTrue="1" text="PARÁMETROS ANORMALES">
      <formula>NOT(ISERROR(SEARCH("PARÁMETROS ANORMALES",S3)))</formula>
    </cfRule>
    <cfRule type="containsText" priority="20" operator="containsText" dxfId="1" stopIfTrue="1" text="PARÁMETROS NORMALES">
      <formula>NOT(ISERROR(SEARCH("PARÁMETROS NORMALES",S3)))</formula>
    </cfRule>
    <cfRule type="containsText" priority="19" operator="containsText" dxfId="0" stopIfTrue="1" text="PRECAUCIÓN">
      <formula>NOT(ISERROR(SEARCH("PRECAUCIÓN",S3)))</formula>
    </cfRule>
  </conditionalFormatting>
  <conditionalFormatting sqref="X21:AB21">
    <cfRule type="iconSet" priority="92">
      <iconSet iconSet="3Arrows">
        <cfvo type="percent" val="0"/>
        <cfvo type="percent" val="33"/>
        <cfvo type="percent" val="67"/>
      </iconSet>
    </cfRule>
  </conditionalFormatting>
  <conditionalFormatting sqref="X31:AB31">
    <cfRule type="iconSet" priority="91">
      <iconSet iconSet="3Arrows">
        <cfvo type="percent" val="0"/>
        <cfvo type="percent" val="33"/>
        <cfvo type="percent" val="67"/>
      </iconSet>
    </cfRule>
  </conditionalFormatting>
  <dataValidations count="4">
    <dataValidation sqref="C18:L18" showDropDown="0" showInputMessage="1" showErrorMessage="1" allowBlank="1" type="list">
      <formula1>"NORMAL,PRECAUCIÓN,ANORMAL,N/D"</formula1>
    </dataValidation>
    <dataValidation sqref="L2" showDropDown="0" showInputMessage="1" showErrorMessage="1" allowBlank="1" error="PARAMETROS FUERA DEL LIMITE CONDENATORIO_x000a_"/>
    <dataValidation sqref="S3" showDropDown="0" showInputMessage="1" showErrorMessage="1" allowBlank="1" type="list">
      <formula1>"PARÁMETROS NORMALES,PRECAUCIÓN,PARÁMETROS ANORMALES,SIN EVALUACIÓN"</formula1>
    </dataValidation>
    <dataValidation sqref="C26:L26 C28:L28" showDropDown="0" showInputMessage="1" showErrorMessage="1" allowBlank="1" type="list">
      <formula1>"NEGATIVO, POSITIVO"</formula1>
    </dataValidation>
  </dataValidations>
  <pageMargins left="0" right="0" top="0" bottom="0" header="0" footer="0"/>
  <pageSetup orientation="landscape" scale="45"/>
  <colBreaks count="1" manualBreakCount="1">
    <brk id="23" min="0" max="1048575" man="1"/>
  </colBreaks>
</worksheet>
</file>

<file path=xl/worksheets/sheet3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AH75"/>
  <sheetViews>
    <sheetView showGridLines="0" view="pageBreakPreview" topLeftCell="A49" zoomScale="70" zoomScaleNormal="100" zoomScaleSheetLayoutView="70" workbookViewId="0">
      <selection activeCell="B76" sqref="B76"/>
    </sheetView>
  </sheetViews>
  <sheetFormatPr baseColWidth="10" defaultRowHeight="12"/>
  <cols>
    <col width="3.5703125" customWidth="1" style="140" min="1" max="1"/>
    <col width="54" customWidth="1" style="140" min="2" max="2"/>
    <col width="14.85546875" customWidth="1" style="140" min="3" max="12"/>
    <col width="2.140625" customWidth="1" style="140" min="13" max="13"/>
    <col width="4" customWidth="1" style="140" min="14" max="14"/>
    <col width="6.85546875" customWidth="1" style="140" min="15" max="15"/>
    <col width="4.140625" customWidth="1" style="140" min="16" max="16"/>
    <col width="6.7109375" customWidth="1" style="140" min="17" max="17"/>
    <col width="6.5703125" customWidth="1" style="140" min="18" max="18"/>
    <col width="22.42578125" customWidth="1" style="140" min="19" max="19"/>
    <col width="15.28515625" customWidth="1" style="140" min="20" max="23"/>
    <col width="11.42578125" customWidth="1" style="140" min="24" max="16384"/>
  </cols>
  <sheetData>
    <row r="1" ht="27.95" customHeight="1" thickBot="1">
      <c r="A1" s="424" t="inlineStr">
        <is>
          <t>REPORTE DE ANÁLISIS DE LUBRICANTE</t>
        </is>
      </c>
      <c r="B1" s="425" t="n"/>
      <c r="C1" s="425" t="n"/>
      <c r="D1" s="425" t="n"/>
      <c r="E1" s="425" t="n"/>
      <c r="F1" s="425" t="n"/>
      <c r="G1" s="425" t="n"/>
      <c r="H1" s="425" t="n"/>
      <c r="I1" s="425" t="n"/>
      <c r="J1" s="425" t="n"/>
      <c r="K1" s="425" t="n"/>
      <c r="L1" s="425" t="n"/>
      <c r="M1" s="425" t="n"/>
      <c r="N1" s="425" t="n"/>
      <c r="O1" s="425" t="n"/>
      <c r="P1" s="425" t="n"/>
      <c r="Q1" s="425" t="n"/>
      <c r="R1" s="425" t="n"/>
      <c r="S1" s="425" t="n"/>
      <c r="T1" s="425" t="n"/>
      <c r="U1" s="425" t="n"/>
      <c r="V1" s="425" t="n"/>
      <c r="W1" s="426" t="n"/>
    </row>
    <row r="2" ht="24" customHeight="1" thickBot="1">
      <c r="A2" s="427" t="n"/>
      <c r="B2" s="428" t="n"/>
      <c r="C2" s="429" t="inlineStr">
        <is>
          <t>NOMBRE DEL CLIENTE:</t>
        </is>
      </c>
      <c r="D2" s="430" t="n"/>
      <c r="E2" s="430" t="n"/>
      <c r="F2" s="430" t="n"/>
      <c r="G2" s="428" t="n"/>
      <c r="H2" s="311" t="inlineStr">
        <is>
          <t>Compartimento:</t>
        </is>
      </c>
      <c r="I2" s="431" t="n"/>
      <c r="J2" s="431" t="n"/>
      <c r="K2" s="432" t="n"/>
      <c r="L2" s="348">
        <f>Datos!A126</f>
        <v/>
      </c>
      <c r="M2" s="431" t="n"/>
      <c r="N2" s="431" t="n"/>
      <c r="O2" s="431" t="n"/>
      <c r="P2" s="431" t="n"/>
      <c r="Q2" s="431" t="n"/>
      <c r="R2" s="432" t="n"/>
      <c r="S2" s="433" t="inlineStr">
        <is>
          <t>Diagnóstico de la última muestra:</t>
        </is>
      </c>
      <c r="T2" s="425" t="n"/>
      <c r="U2" s="425" t="n"/>
      <c r="V2" s="425" t="n"/>
      <c r="W2" s="426" t="n"/>
      <c r="X2" s="141" t="n"/>
      <c r="Y2" s="141" t="n"/>
      <c r="Z2" s="141" t="n"/>
      <c r="AA2" s="141" t="inlineStr">
        <is>
          <t>DIFERENCIAL DELANTERO</t>
        </is>
      </c>
      <c r="AB2" s="141" t="n"/>
    </row>
    <row r="3" ht="24" customHeight="1">
      <c r="A3" s="151" t="n"/>
      <c r="B3" s="434" t="n"/>
      <c r="C3" s="435" t="n"/>
      <c r="D3" s="141" t="n"/>
      <c r="E3" s="141" t="n"/>
      <c r="F3" s="141" t="n"/>
      <c r="G3" s="434" t="n"/>
      <c r="H3" s="317" t="inlineStr">
        <is>
          <t>Equipo:</t>
        </is>
      </c>
      <c r="I3" s="436" t="n"/>
      <c r="J3" s="436" t="n"/>
      <c r="K3" s="437" t="n"/>
      <c r="L3" s="210">
        <f>MOTOR!AA3</f>
        <v/>
      </c>
      <c r="M3" s="399" t="n"/>
      <c r="N3" s="399" t="n"/>
      <c r="O3" s="399" t="n"/>
      <c r="P3" s="399" t="n"/>
      <c r="Q3" s="399" t="n"/>
      <c r="R3" s="400" t="n"/>
      <c r="S3" s="438" t="inlineStr">
        <is>
          <t>SIN EVALUACIÓN</t>
        </is>
      </c>
      <c r="T3" s="430" t="n"/>
      <c r="U3" s="430" t="n"/>
      <c r="V3" s="430" t="n"/>
      <c r="W3" s="439" t="n"/>
      <c r="X3" s="141" t="n"/>
      <c r="Y3" s="141" t="n"/>
      <c r="Z3" s="141" t="n"/>
      <c r="AA3" s="141" t="inlineStr">
        <is>
          <t>UG 00</t>
        </is>
      </c>
      <c r="AB3" s="141" t="n"/>
      <c r="AH3" t="inlineStr">
        <is>
          <t>SIN EVALUACION</t>
        </is>
      </c>
    </row>
    <row r="4" ht="24" customHeight="1" thickBot="1">
      <c r="A4" s="151" t="n"/>
      <c r="B4" s="434" t="n"/>
      <c r="C4" s="404" t="inlineStr">
        <is>
          <t>JUSTICE COMPANY</t>
        </is>
      </c>
      <c r="G4" s="397" t="n"/>
      <c r="H4" s="317" t="inlineStr">
        <is>
          <t>Marca:</t>
        </is>
      </c>
      <c r="I4" s="436" t="n"/>
      <c r="J4" s="436" t="n"/>
      <c r="K4" s="437" t="n"/>
      <c r="L4" s="210">
        <f>MOTOR!AA4</f>
        <v/>
      </c>
      <c r="M4" s="399" t="n"/>
      <c r="N4" s="399" t="n"/>
      <c r="O4" s="399" t="n"/>
      <c r="P4" s="399" t="n"/>
      <c r="Q4" s="399" t="n"/>
      <c r="R4" s="400" t="n"/>
      <c r="S4" s="440" t="n"/>
      <c r="T4" s="187" t="n"/>
      <c r="U4" s="187" t="n"/>
      <c r="V4" s="187" t="n"/>
      <c r="W4" s="441" t="n"/>
      <c r="X4" s="141" t="n"/>
      <c r="Y4" s="141" t="n"/>
      <c r="Z4" s="141" t="n"/>
      <c r="AA4" s="141" t="inlineStr">
        <is>
          <t>MARCA EQUIPO</t>
        </is>
      </c>
      <c r="AB4" s="141" t="n"/>
    </row>
    <row r="5" ht="24" customHeight="1">
      <c r="A5" s="151" t="n"/>
      <c r="B5" s="434" t="n"/>
      <c r="C5" s="398" t="n"/>
      <c r="G5" s="397" t="n"/>
      <c r="H5" s="317" t="inlineStr">
        <is>
          <t>Serie:</t>
        </is>
      </c>
      <c r="I5" s="436" t="n"/>
      <c r="J5" s="436" t="n"/>
      <c r="K5" s="437" t="n"/>
      <c r="L5" s="210">
        <f>MOTOR!AA5</f>
        <v/>
      </c>
      <c r="M5" s="399" t="n"/>
      <c r="N5" s="399" t="n"/>
      <c r="O5" s="399" t="n"/>
      <c r="P5" s="399" t="n"/>
      <c r="Q5" s="399" t="n"/>
      <c r="R5" s="400" t="n"/>
      <c r="S5" s="442" t="n"/>
      <c r="T5" s="430" t="n"/>
      <c r="U5" s="430" t="n"/>
      <c r="V5" s="430" t="n"/>
      <c r="W5" s="439" t="n"/>
      <c r="X5" s="141" t="n"/>
      <c r="Y5" s="141" t="n"/>
      <c r="Z5" s="141" t="n"/>
      <c r="AA5" s="141" t="inlineStr">
        <is>
          <t>SERIE</t>
        </is>
      </c>
      <c r="AB5" s="141" t="n"/>
    </row>
    <row r="6" ht="24" customHeight="1">
      <c r="A6" s="151" t="n"/>
      <c r="B6" s="434" t="n"/>
      <c r="C6" s="398" t="n"/>
      <c r="G6" s="397" t="n"/>
      <c r="H6" s="317" t="inlineStr">
        <is>
          <t>Modelo:</t>
        </is>
      </c>
      <c r="I6" s="436" t="n"/>
      <c r="J6" s="436" t="n"/>
      <c r="K6" s="437" t="n"/>
      <c r="L6" s="210">
        <f>MOTOR!AA6</f>
        <v/>
      </c>
      <c r="M6" s="399" t="n"/>
      <c r="N6" s="399" t="n"/>
      <c r="O6" s="399" t="n"/>
      <c r="P6" s="399" t="n"/>
      <c r="Q6" s="399" t="n"/>
      <c r="R6" s="400" t="n"/>
      <c r="S6" s="151" t="n"/>
      <c r="T6" s="141" t="n"/>
      <c r="U6" s="141" t="n"/>
      <c r="V6" s="141" t="n"/>
      <c r="W6" s="152" t="n"/>
      <c r="X6" s="141" t="n"/>
      <c r="Y6" s="141" t="n"/>
      <c r="Z6" s="141" t="n"/>
      <c r="AA6" s="141" t="inlineStr">
        <is>
          <t>MODELO</t>
        </is>
      </c>
      <c r="AB6" s="141" t="n"/>
    </row>
    <row r="7" ht="24" customHeight="1">
      <c r="A7" s="151" t="n"/>
      <c r="B7" s="434" t="n"/>
      <c r="C7" s="398" t="n"/>
      <c r="G7" s="397" t="n"/>
      <c r="H7" s="317" t="inlineStr">
        <is>
          <t>Lubricante:</t>
        </is>
      </c>
      <c r="I7" s="436" t="n"/>
      <c r="J7" s="436" t="n"/>
      <c r="K7" s="437" t="n"/>
      <c r="L7" s="330" t="n"/>
      <c r="M7" s="436" t="n"/>
      <c r="N7" s="436" t="n"/>
      <c r="O7" s="436" t="n"/>
      <c r="P7" s="436" t="n"/>
      <c r="Q7" s="436" t="n"/>
      <c r="R7" s="437" t="n"/>
      <c r="S7" s="151" t="n"/>
      <c r="T7" s="141" t="n"/>
      <c r="U7" s="141" t="n"/>
      <c r="V7" s="141" t="n"/>
      <c r="W7" s="152" t="n"/>
      <c r="X7" s="141" t="n"/>
      <c r="Y7" s="141" t="n"/>
      <c r="Z7" s="141" t="n"/>
      <c r="AA7" s="141" t="inlineStr">
        <is>
          <t>15W40</t>
        </is>
      </c>
      <c r="AB7" s="141" t="n"/>
    </row>
    <row r="8" ht="24" customHeight="1" thickBot="1">
      <c r="A8" s="440" t="n"/>
      <c r="B8" s="443" t="n"/>
      <c r="C8" s="409" t="n"/>
      <c r="D8" s="73" t="n"/>
      <c r="E8" s="73" t="n"/>
      <c r="F8" s="73" t="n"/>
      <c r="G8" s="408" t="n"/>
      <c r="H8" s="283" t="inlineStr">
        <is>
          <t xml:space="preserve">Marca del Lubricante: </t>
        </is>
      </c>
      <c r="I8" s="444" t="n"/>
      <c r="J8" s="444" t="n"/>
      <c r="K8" s="445" t="n"/>
      <c r="L8" s="326" t="n"/>
      <c r="M8" s="444" t="n"/>
      <c r="N8" s="444" t="n"/>
      <c r="O8" s="444" t="n"/>
      <c r="P8" s="444" t="n"/>
      <c r="Q8" s="444" t="n"/>
      <c r="R8" s="445" t="n"/>
      <c r="S8" s="440" t="n"/>
      <c r="T8" s="187" t="n"/>
      <c r="U8" s="187" t="n"/>
      <c r="V8" s="187" t="n"/>
      <c r="W8" s="441" t="n"/>
      <c r="X8" s="141" t="n"/>
      <c r="Y8" s="141" t="n"/>
      <c r="Z8" s="141" t="n"/>
      <c r="AA8" s="141" t="inlineStr">
        <is>
          <t>GULF</t>
        </is>
      </c>
      <c r="AB8" s="141" t="n"/>
    </row>
    <row r="9" ht="15.75" customHeight="1">
      <c r="A9" s="142" t="n"/>
      <c r="B9" s="286" t="n"/>
      <c r="C9" s="141" t="n"/>
      <c r="D9" s="141" t="n"/>
      <c r="E9" s="141" t="n"/>
      <c r="F9" s="141" t="n"/>
      <c r="G9" s="141" t="n"/>
      <c r="H9" s="141" t="n"/>
      <c r="I9" s="141" t="n"/>
      <c r="J9" s="141" t="n"/>
      <c r="K9" s="141" t="n"/>
      <c r="L9" s="141" t="n"/>
      <c r="M9" s="141" t="n"/>
      <c r="N9" s="141" t="n"/>
      <c r="O9" s="141" t="n"/>
      <c r="P9" s="286" t="n"/>
      <c r="Q9" s="144" t="n"/>
      <c r="R9" s="145" t="n"/>
      <c r="S9" s="146" t="n"/>
      <c r="T9" s="147" t="n"/>
      <c r="U9" s="147" t="n"/>
      <c r="V9" s="147" t="n"/>
      <c r="W9" s="148" t="n"/>
      <c r="X9" s="141" t="n"/>
      <c r="Y9" s="141" t="n"/>
      <c r="Z9" s="141" t="n"/>
      <c r="AA9" s="141" t="n"/>
      <c r="AB9" s="141" t="n"/>
    </row>
    <row r="10" ht="15.75" customHeight="1">
      <c r="A10" s="142" t="n"/>
      <c r="B10" s="275" t="inlineStr">
        <is>
          <t>INFORMACIÓN DE LA MUESTRA</t>
        </is>
      </c>
      <c r="C10" s="446" t="n"/>
      <c r="D10" s="446" t="n"/>
      <c r="E10" s="446" t="n"/>
      <c r="F10" s="446" t="n"/>
      <c r="G10" s="446" t="n"/>
      <c r="H10" s="446" t="n"/>
      <c r="I10" s="446" t="n"/>
      <c r="J10" s="446" t="n"/>
      <c r="K10" s="446" t="n"/>
      <c r="L10" s="447" t="n"/>
      <c r="M10" s="144" t="n"/>
      <c r="N10" s="144" t="n"/>
      <c r="O10" s="144" t="n"/>
      <c r="P10" s="144" t="n"/>
      <c r="Q10" s="144" t="n"/>
      <c r="R10" s="145" t="n"/>
      <c r="S10" s="146" t="n"/>
      <c r="T10" s="147" t="n"/>
      <c r="U10" s="147" t="n"/>
      <c r="V10" s="147" t="n"/>
      <c r="W10" s="148" t="n"/>
      <c r="X10" s="141" t="n"/>
      <c r="Y10" s="141" t="n"/>
      <c r="Z10" s="141" t="n"/>
      <c r="AA10" s="141" t="n"/>
      <c r="AB10" s="141" t="n"/>
    </row>
    <row r="11" ht="15" customHeight="1">
      <c r="A11" s="142" t="n"/>
      <c r="B11" s="448" t="n"/>
      <c r="C11" s="449" t="n"/>
      <c r="D11" s="449" t="n"/>
      <c r="E11" s="449" t="n"/>
      <c r="F11" s="449" t="n"/>
      <c r="G11" s="449" t="n"/>
      <c r="H11" s="449" t="n"/>
      <c r="I11" s="449" t="n"/>
      <c r="J11" s="449" t="n"/>
      <c r="K11" s="449" t="n"/>
      <c r="L11" s="450" t="n"/>
      <c r="M11" s="149" t="n"/>
      <c r="N11" s="149" t="n"/>
      <c r="O11" s="149" t="n"/>
      <c r="P11" s="149" t="n"/>
      <c r="Q11" s="149" t="n"/>
      <c r="R11" s="150" t="n"/>
      <c r="S11" s="151" t="n"/>
      <c r="T11" s="141" t="n"/>
      <c r="U11" s="141" t="n"/>
      <c r="V11" s="141" t="n"/>
      <c r="W11" s="152" t="n"/>
      <c r="X11" s="141" t="n"/>
      <c r="Y11" s="141" t="n"/>
      <c r="Z11" s="141" t="n"/>
      <c r="AA11" s="141" t="n"/>
      <c r="AB11" s="141" t="n"/>
    </row>
    <row r="12" ht="18" customHeight="1">
      <c r="A12" s="142" t="n"/>
      <c r="B12" s="153" t="inlineStr">
        <is>
          <t>Numeración de Muestra</t>
        </is>
      </c>
      <c r="C12" s="154" t="inlineStr">
        <is>
          <t>MUESTRA-001</t>
        </is>
      </c>
      <c r="D12" s="154" t="n"/>
      <c r="E12" s="154" t="n"/>
      <c r="F12" s="154" t="n"/>
      <c r="G12" s="154" t="n"/>
      <c r="H12" s="154" t="n"/>
      <c r="I12" s="154" t="n"/>
      <c r="J12" s="154" t="n"/>
      <c r="K12" s="154" t="n"/>
      <c r="L12" s="154" t="n"/>
      <c r="R12" s="155" t="n"/>
      <c r="S12" s="151" t="n"/>
      <c r="T12" s="141" t="n"/>
      <c r="U12" s="141" t="n"/>
      <c r="V12" s="141" t="n"/>
      <c r="W12" s="152" t="n"/>
      <c r="X12" s="141" t="n"/>
      <c r="Y12" s="141" t="n"/>
      <c r="Z12" s="141" t="n"/>
      <c r="AA12" s="141" t="n"/>
      <c r="AB12" s="141" t="n"/>
    </row>
    <row r="13" ht="18" customHeight="1">
      <c r="A13" s="142" t="n"/>
      <c r="B13" s="153" t="inlineStr">
        <is>
          <t>Fecha de Muestreo</t>
        </is>
      </c>
      <c r="C13" s="451" t="inlineStr">
        <is>
          <t>2026-03-28</t>
        </is>
      </c>
      <c r="D13" s="451" t="n"/>
      <c r="E13" s="451" t="n"/>
      <c r="F13" s="451" t="n"/>
      <c r="G13" s="451" t="n"/>
      <c r="H13" s="451" t="n"/>
      <c r="I13" s="451" t="n"/>
      <c r="J13" s="451" t="n"/>
      <c r="K13" s="451" t="n"/>
      <c r="L13" s="451" t="n"/>
      <c r="R13" s="155" t="n"/>
      <c r="S13" s="151" t="n"/>
      <c r="T13" s="141" t="n"/>
      <c r="U13" s="141" t="n"/>
      <c r="V13" s="141" t="n"/>
      <c r="W13" s="152" t="n"/>
      <c r="X13" s="141" t="n"/>
      <c r="Y13" s="141" t="n"/>
      <c r="Z13" s="141" t="n"/>
      <c r="AA13" s="141" t="n"/>
      <c r="AB13" s="141" t="n"/>
    </row>
    <row r="14" ht="15.75" customHeight="1">
      <c r="A14" s="142" t="n"/>
      <c r="B14" s="153" t="inlineStr">
        <is>
          <t>Fecha de Ingreso</t>
        </is>
      </c>
      <c r="C14" s="451" t="inlineStr">
        <is>
          <t>2026-03-29</t>
        </is>
      </c>
      <c r="D14" s="451" t="n"/>
      <c r="E14" s="451" t="n"/>
      <c r="F14" s="451" t="n"/>
      <c r="G14" s="451" t="n"/>
      <c r="H14" s="451" t="n"/>
      <c r="I14" s="451" t="n"/>
      <c r="J14" s="451" t="n"/>
      <c r="K14" s="451" t="n"/>
      <c r="L14" s="451" t="n"/>
      <c r="R14" s="155" t="n"/>
      <c r="S14" s="151" t="n"/>
      <c r="T14" s="141" t="n"/>
      <c r="U14" s="141" t="n"/>
      <c r="V14" s="141" t="n"/>
      <c r="W14" s="152" t="n"/>
      <c r="X14" s="141" t="n"/>
      <c r="Y14" s="141" t="n"/>
      <c r="Z14" s="141" t="n"/>
      <c r="AA14" s="141" t="n"/>
      <c r="AB14" s="141" t="n"/>
    </row>
    <row r="15" ht="18" customHeight="1">
      <c r="A15" s="142" t="n"/>
      <c r="B15" s="153" t="inlineStr">
        <is>
          <t>Fecha de Informe</t>
        </is>
      </c>
      <c r="C15" s="451" t="inlineStr">
        <is>
          <t>2026-03-30</t>
        </is>
      </c>
      <c r="D15" s="451" t="n"/>
      <c r="E15" s="451" t="n"/>
      <c r="F15" s="451" t="n"/>
      <c r="G15" s="451" t="n"/>
      <c r="H15" s="451" t="n"/>
      <c r="I15" s="451" t="n"/>
      <c r="J15" s="451" t="n"/>
      <c r="K15" s="451" t="n"/>
      <c r="L15" s="451" t="n"/>
      <c r="R15" s="155" t="n"/>
      <c r="S15" s="151" t="n"/>
      <c r="T15" s="141" t="n"/>
      <c r="U15" s="141" t="n"/>
      <c r="V15" s="141" t="n"/>
      <c r="W15" s="152" t="n"/>
      <c r="X15" s="141" t="n"/>
      <c r="Y15" s="141" t="n"/>
      <c r="Z15" s="141" t="n"/>
      <c r="AA15" s="141" t="n"/>
      <c r="AB15" s="141" t="n"/>
    </row>
    <row r="16" ht="18" customHeight="1">
      <c r="A16" s="142" t="n"/>
      <c r="B16" s="153" t="inlineStr">
        <is>
          <t>Equipo Hrs/ Km</t>
        </is>
      </c>
      <c r="C16" s="154" t="n">
        <v>12000</v>
      </c>
      <c r="D16" s="154" t="n"/>
      <c r="E16" s="154" t="n"/>
      <c r="F16" s="154" t="n"/>
      <c r="G16" s="154" t="n"/>
      <c r="H16" s="154" t="n"/>
      <c r="I16" s="154" t="n"/>
      <c r="J16" s="154" t="n"/>
      <c r="K16" s="154" t="n"/>
      <c r="L16" s="154" t="n"/>
      <c r="R16" s="155" t="n"/>
      <c r="S16" s="151" t="n"/>
      <c r="T16" s="141" t="n"/>
      <c r="U16" s="141" t="n"/>
      <c r="V16" s="141" t="n"/>
      <c r="W16" s="152" t="n"/>
      <c r="X16" s="141" t="n"/>
      <c r="Y16" s="141" t="n"/>
      <c r="Z16" s="141" t="n"/>
      <c r="AA16" s="141" t="n"/>
      <c r="AB16" s="141" t="n"/>
    </row>
    <row r="17" ht="18" customHeight="1">
      <c r="A17" s="142" t="n"/>
      <c r="B17" s="153" t="inlineStr">
        <is>
          <t>Aceite Hrs/ Km</t>
        </is>
      </c>
      <c r="C17" s="154" t="n">
        <v>320</v>
      </c>
      <c r="D17" s="154" t="n"/>
      <c r="E17" s="154" t="n"/>
      <c r="F17" s="154" t="n"/>
      <c r="G17" s="154" t="n"/>
      <c r="H17" s="154" t="n"/>
      <c r="I17" s="154" t="n"/>
      <c r="J17" s="154" t="n"/>
      <c r="K17" s="154" t="n"/>
      <c r="L17" s="154" t="n"/>
      <c r="R17" s="155" t="n"/>
      <c r="S17" s="151" t="n"/>
      <c r="T17" s="141" t="n"/>
      <c r="U17" s="141" t="n"/>
      <c r="V17" s="141" t="n"/>
      <c r="W17" s="152" t="n"/>
      <c r="X17" s="141" t="n"/>
      <c r="Y17" s="141" t="n"/>
      <c r="Z17" s="141" t="n"/>
      <c r="AA17" s="141" t="n"/>
      <c r="AB17" s="141" t="n"/>
    </row>
    <row r="18" ht="18" customHeight="1">
      <c r="A18" s="142" t="n"/>
      <c r="B18" s="153" t="inlineStr">
        <is>
          <t>Condición</t>
        </is>
      </c>
      <c r="C18" s="157" t="inlineStr">
        <is>
          <t>NORMAL</t>
        </is>
      </c>
      <c r="D18" s="157" t="n"/>
      <c r="E18" s="157" t="n"/>
      <c r="F18" s="157" t="n"/>
      <c r="G18" s="157" t="n"/>
      <c r="H18" s="157" t="n"/>
      <c r="I18" s="157" t="n"/>
      <c r="J18" s="157" t="n"/>
      <c r="K18" s="157" t="n"/>
      <c r="L18" s="157" t="n"/>
      <c r="R18" s="155" t="n"/>
      <c r="S18" s="151" t="n"/>
      <c r="T18" s="141" t="n"/>
      <c r="U18" s="141" t="n"/>
      <c r="V18" s="141" t="n"/>
      <c r="W18" s="152" t="n"/>
      <c r="X18" s="141" t="n"/>
      <c r="Y18" s="141" t="n"/>
      <c r="Z18" s="141" t="n"/>
      <c r="AA18" s="141" t="n"/>
      <c r="AB18" s="141" t="n"/>
    </row>
    <row r="19" ht="18" customHeight="1">
      <c r="A19" s="142" t="n"/>
      <c r="B19" s="158" t="n"/>
      <c r="C19" s="158" t="n"/>
      <c r="D19" s="158" t="n"/>
      <c r="E19" s="158" t="n"/>
      <c r="F19" s="158" t="n"/>
      <c r="G19" s="158" t="n"/>
      <c r="H19" s="158" t="n"/>
      <c r="I19" s="158" t="n"/>
      <c r="J19" s="158" t="n"/>
      <c r="K19" s="158" t="n"/>
      <c r="L19" s="158" t="n"/>
      <c r="R19" s="155" t="n"/>
      <c r="S19" s="151" t="n"/>
      <c r="T19" s="141" t="n"/>
      <c r="U19" s="141" t="n"/>
      <c r="V19" s="141" t="n"/>
      <c r="W19" s="152" t="n"/>
      <c r="X19" s="141" t="n"/>
      <c r="Y19" s="141" t="n"/>
      <c r="Z19" s="141" t="n"/>
      <c r="AA19" s="141" t="n"/>
      <c r="AB19" s="141" t="n"/>
    </row>
    <row r="20" ht="18" customHeight="1">
      <c r="A20" s="142" t="n"/>
      <c r="B20" s="275" t="inlineStr">
        <is>
          <t>ESTADO DEL LUBRICANTE</t>
        </is>
      </c>
      <c r="C20" s="446" t="n"/>
      <c r="D20" s="446" t="n"/>
      <c r="E20" s="446" t="n"/>
      <c r="F20" s="446" t="n"/>
      <c r="G20" s="446" t="n"/>
      <c r="H20" s="446" t="n"/>
      <c r="I20" s="446" t="n"/>
      <c r="J20" s="446" t="n"/>
      <c r="K20" s="446" t="n"/>
      <c r="L20" s="447" t="n"/>
      <c r="N20" s="276" t="inlineStr">
        <is>
          <t>* Rangos Generales</t>
        </is>
      </c>
      <c r="O20" s="436" t="n"/>
      <c r="P20" s="436" t="n"/>
      <c r="Q20" s="437" t="n"/>
      <c r="R20" s="155" t="n"/>
      <c r="S20" s="151" t="n"/>
      <c r="T20" s="141" t="n"/>
      <c r="U20" s="141" t="n"/>
      <c r="V20" s="141" t="n"/>
      <c r="W20" s="152" t="n"/>
      <c r="X20" s="141" t="n"/>
      <c r="Y20" s="141" t="n"/>
      <c r="Z20" s="141" t="n"/>
      <c r="AA20" s="141" t="n"/>
      <c r="AB20" s="141" t="n"/>
    </row>
    <row r="21" ht="18" customHeight="1">
      <c r="A21" s="142" t="n"/>
      <c r="B21" s="448" t="n"/>
      <c r="C21" s="449" t="n"/>
      <c r="D21" s="449" t="n"/>
      <c r="E21" s="449" t="n"/>
      <c r="F21" s="449" t="n"/>
      <c r="G21" s="449" t="n"/>
      <c r="H21" s="449" t="n"/>
      <c r="I21" s="449" t="n"/>
      <c r="J21" s="449" t="n"/>
      <c r="K21" s="449" t="n"/>
      <c r="L21" s="450" t="n"/>
      <c r="M21" s="149" t="n"/>
      <c r="N21" s="276" t="inlineStr">
        <is>
          <t>Precaución</t>
        </is>
      </c>
      <c r="O21" s="437" t="n"/>
      <c r="P21" s="276" t="inlineStr">
        <is>
          <t>Anormal</t>
        </is>
      </c>
      <c r="Q21" s="437" t="n"/>
      <c r="R21" s="155" t="n"/>
      <c r="S21" s="151" t="n"/>
      <c r="T21" s="141" t="n"/>
      <c r="U21" s="141" t="n"/>
      <c r="V21" s="141" t="n"/>
      <c r="W21" s="152" t="n"/>
      <c r="X21" s="286" t="n"/>
      <c r="Y21" s="286" t="n"/>
      <c r="Z21" s="286" t="n"/>
      <c r="AA21" s="286" t="n"/>
      <c r="AB21" s="286" t="n"/>
    </row>
    <row r="22" hidden="1" ht="15.75" customHeight="1">
      <c r="A22" s="142" t="n"/>
      <c r="B22" s="153" t="inlineStr">
        <is>
          <t>Viscosidad a 100ºC, cSt</t>
        </is>
      </c>
      <c r="C22" s="452" t="n">
        <v>0</v>
      </c>
      <c r="D22" s="452" t="n"/>
      <c r="E22" s="452" t="n"/>
      <c r="F22" s="452" t="n"/>
      <c r="G22" s="452" t="n"/>
      <c r="H22" s="452" t="n"/>
      <c r="I22" s="452" t="n"/>
      <c r="J22" s="452" t="n"/>
      <c r="K22" s="452" t="n"/>
      <c r="L22" s="452" t="n"/>
      <c r="M22" s="149" t="n"/>
      <c r="N22" s="160" t="n"/>
      <c r="O22" s="453" t="n"/>
      <c r="P22" s="162" t="n"/>
      <c r="Q22" s="453" t="n"/>
      <c r="R22" s="155" t="n"/>
      <c r="S22" s="151" t="n"/>
      <c r="T22" s="141" t="n"/>
      <c r="U22" s="141" t="n"/>
      <c r="V22" s="141" t="n"/>
      <c r="W22" s="152" t="n"/>
      <c r="X22" s="141" t="n"/>
      <c r="Y22" s="141" t="n"/>
      <c r="Z22" s="141" t="n"/>
      <c r="AA22" s="141" t="n"/>
      <c r="AB22" s="141" t="n"/>
    </row>
    <row r="23" ht="15.75" customHeight="1">
      <c r="A23" s="142" t="n"/>
      <c r="B23" s="153" t="inlineStr">
        <is>
          <t>Viscosidad a 40ºC, cSt</t>
        </is>
      </c>
      <c r="C23" s="452" t="n">
        <v>0</v>
      </c>
      <c r="D23" s="452" t="n"/>
      <c r="E23" s="452" t="n"/>
      <c r="F23" s="452" t="n"/>
      <c r="G23" s="452" t="n"/>
      <c r="H23" s="452" t="n"/>
      <c r="I23" s="452" t="n"/>
      <c r="J23" s="452" t="n"/>
      <c r="K23" s="452" t="n"/>
      <c r="L23" s="452" t="n"/>
      <c r="M23" s="149" t="n"/>
      <c r="N23" s="160" t="n"/>
      <c r="O23" s="453" t="n"/>
      <c r="P23" s="162" t="n"/>
      <c r="Q23" s="453" t="n"/>
      <c r="R23" s="155" t="n"/>
      <c r="S23" s="151" t="n"/>
      <c r="T23" s="141" t="n"/>
      <c r="U23" s="141" t="n"/>
      <c r="V23" s="141" t="n"/>
      <c r="W23" s="152" t="n"/>
      <c r="X23" s="141" t="n"/>
      <c r="Y23" s="141" t="n"/>
      <c r="Z23" s="141" t="n"/>
      <c r="AA23" s="141" t="n"/>
      <c r="AB23" s="141" t="n"/>
    </row>
    <row r="24" hidden="1" ht="15.75" customHeight="1">
      <c r="A24" s="142" t="n"/>
      <c r="B24" s="153" t="inlineStr">
        <is>
          <t>Indice de Viscosidad</t>
        </is>
      </c>
      <c r="C24" s="163" t="n">
        <v>0</v>
      </c>
      <c r="D24" s="163" t="n"/>
      <c r="E24" s="163" t="n"/>
      <c r="F24" s="163" t="n"/>
      <c r="G24" s="163" t="n"/>
      <c r="H24" s="163" t="n"/>
      <c r="I24" s="163" t="n"/>
      <c r="J24" s="163" t="n"/>
      <c r="K24" s="163" t="n"/>
      <c r="L24" s="163" t="n"/>
      <c r="M24" s="149" t="n"/>
      <c r="N24" s="164" t="n"/>
      <c r="O24" s="454" t="n"/>
      <c r="P24" s="164" t="n"/>
      <c r="Q24" s="454" t="n"/>
      <c r="R24" s="155" t="n"/>
      <c r="S24" s="151" t="n"/>
      <c r="T24" s="141" t="n"/>
      <c r="U24" s="141" t="n"/>
      <c r="V24" s="141" t="n"/>
      <c r="W24" s="152" t="n"/>
      <c r="X24" s="141" t="n"/>
      <c r="Y24" s="141" t="n"/>
      <c r="Z24" s="141" t="n"/>
      <c r="AA24" s="141" t="n"/>
      <c r="AB24" s="141" t="n"/>
    </row>
    <row r="25" hidden="1" ht="15.75" customHeight="1">
      <c r="A25" s="142" t="n"/>
      <c r="B25" s="153" t="inlineStr">
        <is>
          <t>T.B.N. mgKOH/gr</t>
        </is>
      </c>
      <c r="C25" s="455" t="n">
        <v>0</v>
      </c>
      <c r="D25" s="455" t="n"/>
      <c r="E25" s="455" t="n"/>
      <c r="F25" s="455" t="n"/>
      <c r="G25" s="455" t="n"/>
      <c r="H25" s="455" t="n"/>
      <c r="I25" s="455" t="n"/>
      <c r="J25" s="455" t="n"/>
      <c r="K25" s="455" t="n"/>
      <c r="L25" s="455" t="n"/>
      <c r="M25" s="167" t="n"/>
      <c r="N25" s="276" t="inlineStr">
        <is>
          <t>[50% TBN -1]</t>
        </is>
      </c>
      <c r="O25" s="436" t="n"/>
      <c r="P25" s="436" t="n"/>
      <c r="Q25" s="437" t="n"/>
      <c r="R25" s="155" t="n"/>
      <c r="S25" s="151" t="n"/>
      <c r="T25" s="141" t="n"/>
      <c r="U25" s="141" t="n"/>
      <c r="V25" s="141" t="n"/>
      <c r="W25" s="152" t="n"/>
    </row>
    <row r="26" ht="18" customHeight="1">
      <c r="A26" s="142" t="n"/>
      <c r="B26" s="153" t="inlineStr">
        <is>
          <t>Humedad</t>
        </is>
      </c>
      <c r="C26" s="154" t="inlineStr">
        <is>
          <t>NEGATIVO</t>
        </is>
      </c>
      <c r="D26" s="154" t="n"/>
      <c r="E26" s="154" t="n"/>
      <c r="F26" s="154" t="n"/>
      <c r="G26" s="154" t="n"/>
      <c r="H26" s="154" t="n"/>
      <c r="I26" s="154" t="n"/>
      <c r="J26" s="154" t="n"/>
      <c r="K26" s="154" t="n"/>
      <c r="L26" s="154" t="n"/>
      <c r="M26" s="149" t="n"/>
      <c r="N26" s="164" t="n"/>
      <c r="O26" s="454" t="n"/>
      <c r="P26" s="290" t="inlineStr">
        <is>
          <t>POSITIVO</t>
        </is>
      </c>
      <c r="Q26" s="437" t="n"/>
      <c r="R26" s="155" t="n"/>
      <c r="S26" s="151" t="n"/>
      <c r="T26" s="141" t="n"/>
      <c r="U26" s="141" t="n"/>
      <c r="V26" s="141" t="n"/>
      <c r="W26" s="152" t="n"/>
      <c r="X26" s="141" t="n"/>
      <c r="Y26" s="141" t="n"/>
      <c r="Z26" s="141" t="n"/>
      <c r="AA26" s="141" t="n"/>
    </row>
    <row r="27" hidden="1" ht="15.75" customHeight="1">
      <c r="A27" s="142" t="n"/>
      <c r="B27" s="153" t="inlineStr">
        <is>
          <t>Glycol,  Abs/cm</t>
        </is>
      </c>
      <c r="C27" s="154" t="n">
        <v>0</v>
      </c>
      <c r="D27" s="154" t="n"/>
      <c r="E27" s="154" t="n"/>
      <c r="F27" s="154" t="n"/>
      <c r="G27" s="154" t="n"/>
      <c r="H27" s="154" t="n"/>
      <c r="I27" s="154" t="n"/>
      <c r="J27" s="154" t="n"/>
      <c r="K27" s="154" t="n"/>
      <c r="L27" s="154" t="n"/>
      <c r="M27" s="149" t="n"/>
      <c r="N27" s="168" t="n"/>
      <c r="O27" s="169" t="n"/>
      <c r="P27" s="168" t="n"/>
      <c r="Q27" s="170" t="n"/>
      <c r="R27" s="155" t="n"/>
      <c r="S27" s="151" t="n"/>
      <c r="T27" s="141" t="n"/>
      <c r="U27" s="141" t="n"/>
      <c r="V27" s="141" t="n"/>
      <c r="W27" s="152" t="n"/>
      <c r="X27" s="141" t="n"/>
      <c r="Y27" s="141" t="n"/>
      <c r="Z27" s="141" t="n"/>
    </row>
    <row r="28" hidden="1" ht="15.75" customFormat="1" customHeight="1" s="173">
      <c r="A28" s="171" t="n"/>
      <c r="B28" s="153" t="inlineStr">
        <is>
          <t>Combustible</t>
        </is>
      </c>
      <c r="C28" s="154" t="inlineStr">
        <is>
          <t>NEGATIVO</t>
        </is>
      </c>
      <c r="D28" s="154" t="n"/>
      <c r="E28" s="154" t="n"/>
      <c r="F28" s="154" t="n"/>
      <c r="G28" s="154" t="n"/>
      <c r="H28" s="154" t="n"/>
      <c r="I28" s="154" t="n"/>
      <c r="J28" s="154" t="n"/>
      <c r="K28" s="154" t="n"/>
      <c r="L28" s="154" t="n"/>
      <c r="M28" s="167" t="n"/>
      <c r="N28" s="164" t="n"/>
      <c r="O28" s="454" t="n"/>
      <c r="P28" s="290" t="inlineStr">
        <is>
          <t>POSITIVO</t>
        </is>
      </c>
      <c r="Q28" s="437" t="n"/>
      <c r="R28" s="172" t="n"/>
      <c r="S28" s="151" t="n"/>
      <c r="T28" s="141" t="n"/>
      <c r="U28" s="141" t="n"/>
      <c r="V28" s="141" t="n"/>
      <c r="W28" s="152" t="n"/>
      <c r="X28" s="141" t="n"/>
      <c r="Y28" s="141" t="n"/>
      <c r="Z28" s="141" t="n"/>
      <c r="AA28" s="141" t="n"/>
    </row>
    <row r="29" ht="18" customHeight="1">
      <c r="A29" s="142" t="n"/>
      <c r="B29" s="158" t="n"/>
      <c r="C29" s="158" t="n"/>
      <c r="D29" s="158" t="n"/>
      <c r="E29" s="158" t="n"/>
      <c r="F29" s="158" t="n"/>
      <c r="G29" s="158" t="n"/>
      <c r="H29" s="158" t="n"/>
      <c r="I29" s="158" t="n"/>
      <c r="J29" s="158" t="n"/>
      <c r="K29" s="158" t="n"/>
      <c r="L29" s="158" t="n"/>
      <c r="N29" s="174" t="n"/>
      <c r="O29" s="175" t="n"/>
      <c r="P29" s="175" t="n"/>
      <c r="Q29" s="175" t="n"/>
      <c r="R29" s="155" t="n"/>
      <c r="S29" s="151" t="n"/>
      <c r="T29" s="141" t="n"/>
      <c r="U29" s="141" t="n"/>
      <c r="V29" s="141" t="n"/>
      <c r="W29" s="152" t="n"/>
    </row>
    <row r="30" ht="18" customHeight="1">
      <c r="A30" s="142" t="n"/>
      <c r="B30" s="275" t="inlineStr">
        <is>
          <t>DEGRADACIÓN QUÍMICA</t>
        </is>
      </c>
      <c r="C30" s="446" t="n"/>
      <c r="D30" s="446" t="n"/>
      <c r="E30" s="446" t="n"/>
      <c r="F30" s="446" t="n"/>
      <c r="G30" s="446" t="n"/>
      <c r="H30" s="446" t="n"/>
      <c r="I30" s="446" t="n"/>
      <c r="J30" s="446" t="n"/>
      <c r="K30" s="446" t="n"/>
      <c r="L30" s="447" t="n"/>
      <c r="N30" s="276" t="inlineStr">
        <is>
          <t>* Rangos Generales</t>
        </is>
      </c>
      <c r="O30" s="436" t="n"/>
      <c r="P30" s="436" t="n"/>
      <c r="Q30" s="437" t="n"/>
      <c r="R30" s="155" t="n"/>
      <c r="S30" s="151" t="n"/>
      <c r="T30" s="141" t="n"/>
      <c r="U30" s="141" t="n"/>
      <c r="V30" s="141" t="n"/>
      <c r="W30" s="152" t="n"/>
    </row>
    <row r="31" ht="15" customHeight="1">
      <c r="A31" s="142" t="n"/>
      <c r="B31" s="448" t="n"/>
      <c r="C31" s="449" t="n"/>
      <c r="D31" s="449" t="n"/>
      <c r="E31" s="449" t="n"/>
      <c r="F31" s="449" t="n"/>
      <c r="G31" s="449" t="n"/>
      <c r="H31" s="449" t="n"/>
      <c r="I31" s="449" t="n"/>
      <c r="J31" s="449" t="n"/>
      <c r="K31" s="449" t="n"/>
      <c r="L31" s="450" t="n"/>
      <c r="M31" s="149" t="n"/>
      <c r="N31" s="276" t="inlineStr">
        <is>
          <t>Precaución</t>
        </is>
      </c>
      <c r="O31" s="437" t="n"/>
      <c r="P31" s="276" t="inlineStr">
        <is>
          <t>Anormal</t>
        </is>
      </c>
      <c r="Q31" s="437" t="n"/>
      <c r="R31" s="155" t="n"/>
      <c r="S31" s="151" t="n"/>
      <c r="T31" s="141" t="n"/>
      <c r="U31" s="141" t="n"/>
      <c r="V31" s="141" t="n"/>
      <c r="W31" s="152" t="n"/>
      <c r="X31" s="286" t="n"/>
      <c r="Y31" s="286" t="n"/>
      <c r="Z31" s="286" t="n"/>
      <c r="AA31" s="286" t="n"/>
      <c r="AB31" s="286" t="n"/>
    </row>
    <row r="32" ht="18" customHeight="1">
      <c r="A32" s="142" t="n"/>
      <c r="B32" s="153" t="inlineStr">
        <is>
          <t>Oxidación, Abs/cm</t>
        </is>
      </c>
      <c r="C32" s="456" t="n">
        <v>0</v>
      </c>
      <c r="D32" s="456" t="n"/>
      <c r="E32" s="456" t="n"/>
      <c r="F32" s="456" t="n"/>
      <c r="G32" s="456" t="n"/>
      <c r="H32" s="456" t="n"/>
      <c r="I32" s="456" t="n"/>
      <c r="J32" s="456" t="n"/>
      <c r="K32" s="456" t="n"/>
      <c r="L32" s="456" t="n"/>
      <c r="M32" s="149" t="n"/>
      <c r="N32" s="164" t="n"/>
      <c r="O32" s="177" t="n"/>
      <c r="P32" s="164" t="n"/>
      <c r="Q32" s="177" t="n"/>
      <c r="R32" s="155" t="n"/>
      <c r="S32" s="151" t="n"/>
      <c r="T32" s="141" t="n"/>
      <c r="U32" s="141" t="n"/>
      <c r="V32" s="141" t="n"/>
      <c r="W32" s="152" t="n"/>
      <c r="X32" s="141" t="n"/>
      <c r="Y32" s="141" t="n"/>
      <c r="Z32" s="141" t="n"/>
    </row>
    <row r="33" hidden="1" ht="15.75" customHeight="1">
      <c r="A33" s="142" t="n"/>
      <c r="B33" s="153" t="inlineStr">
        <is>
          <t>Nitración, Abs/cm</t>
        </is>
      </c>
      <c r="C33" s="423" t="n">
        <v>0</v>
      </c>
      <c r="D33" s="423" t="n"/>
      <c r="E33" s="423" t="n"/>
      <c r="F33" s="423" t="n"/>
      <c r="G33" s="423" t="n"/>
      <c r="H33" s="423" t="n"/>
      <c r="I33" s="423" t="n"/>
      <c r="J33" s="423" t="n"/>
      <c r="K33" s="423" t="n"/>
      <c r="L33" s="423" t="n"/>
      <c r="M33" s="149" t="n"/>
      <c r="N33" s="164" t="n"/>
      <c r="O33" s="177" t="n"/>
      <c r="P33" s="164" t="n"/>
      <c r="Q33" s="177" t="n"/>
      <c r="R33" s="155" t="n"/>
      <c r="S33" s="151" t="n"/>
      <c r="T33" s="141" t="n"/>
      <c r="U33" s="141" t="n"/>
      <c r="V33" s="141" t="n"/>
      <c r="W33" s="152" t="n"/>
    </row>
    <row r="34" hidden="1" ht="15.75" customHeight="1">
      <c r="A34" s="142" t="n"/>
      <c r="B34" s="153" t="inlineStr">
        <is>
          <t>Sulfatación, Abs/cm</t>
        </is>
      </c>
      <c r="C34" s="423" t="n">
        <v>0</v>
      </c>
      <c r="D34" s="423" t="n"/>
      <c r="E34" s="423" t="n"/>
      <c r="F34" s="423" t="n"/>
      <c r="G34" s="423" t="n"/>
      <c r="H34" s="423" t="n"/>
      <c r="I34" s="423" t="n"/>
      <c r="J34" s="423" t="n"/>
      <c r="K34" s="423" t="n"/>
      <c r="L34" s="423" t="n"/>
      <c r="M34" s="149" t="n"/>
      <c r="N34" s="164" t="n"/>
      <c r="O34" s="177" t="n"/>
      <c r="P34" s="164" t="n"/>
      <c r="Q34" s="177" t="n"/>
      <c r="R34" s="155" t="n"/>
      <c r="S34" s="151" t="n"/>
      <c r="T34" s="141" t="n"/>
      <c r="U34" s="141" t="n"/>
      <c r="V34" s="141" t="n"/>
      <c r="W34" s="152" t="n"/>
    </row>
    <row r="35" hidden="1" ht="15.75" customHeight="1">
      <c r="A35" s="142" t="n"/>
      <c r="B35" s="153" t="inlineStr">
        <is>
          <t>Hollín, wt%</t>
        </is>
      </c>
      <c r="C35" s="423" t="n">
        <v>0</v>
      </c>
      <c r="D35" s="423" t="n"/>
      <c r="E35" s="423" t="n"/>
      <c r="F35" s="423" t="n"/>
      <c r="G35" s="423" t="n"/>
      <c r="H35" s="423" t="n"/>
      <c r="I35" s="423" t="n"/>
      <c r="J35" s="423" t="n"/>
      <c r="K35" s="423" t="n"/>
      <c r="L35" s="423" t="n"/>
      <c r="M35" s="149" t="n"/>
      <c r="N35" s="164" t="n"/>
      <c r="O35" s="178" t="n"/>
      <c r="P35" s="164" t="n"/>
      <c r="Q35" s="177" t="n"/>
      <c r="R35" s="155" t="n"/>
      <c r="S35" s="151" t="n"/>
      <c r="T35" s="141" t="n"/>
      <c r="U35" s="141" t="n"/>
      <c r="V35" s="141" t="n"/>
      <c r="W35" s="152" t="n"/>
    </row>
    <row r="36" ht="18" customHeight="1">
      <c r="A36" s="142" t="n"/>
      <c r="B36" s="158" t="n"/>
      <c r="C36" s="158" t="n"/>
      <c r="D36" s="158" t="n"/>
      <c r="E36" s="158" t="n"/>
      <c r="F36" s="158" t="n"/>
      <c r="G36" s="158" t="n"/>
      <c r="H36" s="158" t="n"/>
      <c r="I36" s="158" t="n"/>
      <c r="J36" s="158" t="n"/>
      <c r="K36" s="158" t="n"/>
      <c r="L36" s="158" t="n"/>
      <c r="N36" s="174" t="n"/>
      <c r="O36" s="175" t="n"/>
      <c r="P36" s="175" t="n"/>
      <c r="Q36" s="175" t="n"/>
      <c r="R36" s="155" t="n"/>
      <c r="S36" s="151" t="n"/>
      <c r="T36" s="141" t="n"/>
      <c r="U36" s="141" t="n"/>
      <c r="V36" s="141" t="n"/>
      <c r="W36" s="152" t="n"/>
      <c r="X36" s="141" t="n"/>
      <c r="Y36" s="141" t="n"/>
      <c r="Z36" s="141" t="n"/>
      <c r="AA36" s="141" t="n"/>
    </row>
    <row r="37" ht="18" customHeight="1">
      <c r="A37" s="142" t="n"/>
      <c r="B37" s="275" t="inlineStr">
        <is>
          <t>CONTAMINACIÓN DEL LUBRICANTE - PPM (mg/kg)</t>
        </is>
      </c>
      <c r="C37" s="446" t="n"/>
      <c r="D37" s="446" t="n"/>
      <c r="E37" s="446" t="n"/>
      <c r="F37" s="446" t="n"/>
      <c r="G37" s="446" t="n"/>
      <c r="H37" s="446" t="n"/>
      <c r="I37" s="446" t="n"/>
      <c r="J37" s="446" t="n"/>
      <c r="K37" s="446" t="n"/>
      <c r="L37" s="447" t="n"/>
      <c r="N37" s="276" t="inlineStr">
        <is>
          <t>* Rangos Generales</t>
        </is>
      </c>
      <c r="O37" s="436" t="n"/>
      <c r="P37" s="436" t="n"/>
      <c r="Q37" s="437" t="n"/>
      <c r="R37" s="155" t="n"/>
      <c r="S37" s="151" t="n"/>
      <c r="T37" s="141" t="n"/>
      <c r="U37" s="141" t="n"/>
      <c r="V37" s="141" t="n"/>
      <c r="W37" s="152" t="n"/>
      <c r="X37" s="141" t="n"/>
      <c r="Y37" s="141" t="n"/>
      <c r="Z37" s="141" t="n"/>
      <c r="AA37" s="141" t="n"/>
    </row>
    <row r="38" ht="18" customHeight="1">
      <c r="A38" s="142" t="n"/>
      <c r="B38" s="448" t="n"/>
      <c r="C38" s="449" t="n"/>
      <c r="D38" s="449" t="n"/>
      <c r="E38" s="449" t="n"/>
      <c r="F38" s="449" t="n"/>
      <c r="G38" s="449" t="n"/>
      <c r="H38" s="449" t="n"/>
      <c r="I38" s="449" t="n"/>
      <c r="J38" s="449" t="n"/>
      <c r="K38" s="449" t="n"/>
      <c r="L38" s="450" t="n"/>
      <c r="M38" s="149" t="n"/>
      <c r="N38" s="276" t="inlineStr">
        <is>
          <t>Precaución</t>
        </is>
      </c>
      <c r="O38" s="437" t="n"/>
      <c r="P38" s="276" t="inlineStr">
        <is>
          <t>Anormal</t>
        </is>
      </c>
      <c r="Q38" s="437" t="n"/>
      <c r="R38" s="179" t="n"/>
      <c r="S38" s="151" t="n"/>
      <c r="T38" s="141" t="n"/>
      <c r="U38" s="141" t="n"/>
      <c r="V38" s="141" t="n"/>
      <c r="W38" s="152" t="n"/>
      <c r="X38" s="141" t="n"/>
      <c r="Y38" s="141" t="n"/>
      <c r="Z38" s="141" t="n"/>
      <c r="AA38" s="141" t="n"/>
    </row>
    <row r="39" ht="18" customHeight="1">
      <c r="A39" s="142" t="n"/>
      <c r="B39" s="153" t="inlineStr">
        <is>
          <t>Si (Silicio)</t>
        </is>
      </c>
      <c r="C39" s="154" t="n">
        <v>0</v>
      </c>
      <c r="D39" s="154" t="n"/>
      <c r="E39" s="154" t="n"/>
      <c r="F39" s="154" t="n"/>
      <c r="G39" s="154" t="n"/>
      <c r="H39" s="154" t="n"/>
      <c r="I39" s="154" t="n"/>
      <c r="J39" s="154" t="n"/>
      <c r="K39" s="154" t="n"/>
      <c r="L39" s="154" t="n"/>
      <c r="M39" s="149" t="n"/>
      <c r="N39" s="164" t="n"/>
      <c r="O39" s="177" t="n"/>
      <c r="P39" s="164" t="n"/>
      <c r="Q39" s="177" t="n"/>
      <c r="R39" s="155" t="n"/>
      <c r="S39" s="151" t="n"/>
      <c r="T39" s="141" t="n"/>
      <c r="U39" s="141" t="n"/>
      <c r="V39" s="141" t="n"/>
      <c r="W39" s="152" t="n"/>
      <c r="X39" s="141" t="n"/>
      <c r="Y39" s="141" t="n"/>
      <c r="Z39" s="141" t="n"/>
      <c r="AA39" s="141" t="n"/>
    </row>
    <row r="40" ht="18" customHeight="1">
      <c r="A40" s="142" t="n"/>
      <c r="B40" s="153" t="inlineStr">
        <is>
          <t>Na (Sodio)</t>
        </is>
      </c>
      <c r="C40" s="154" t="n">
        <v>0</v>
      </c>
      <c r="D40" s="154" t="n"/>
      <c r="E40" s="154" t="n"/>
      <c r="F40" s="154" t="n"/>
      <c r="G40" s="154" t="n"/>
      <c r="H40" s="154" t="n"/>
      <c r="I40" s="154" t="n"/>
      <c r="J40" s="154" t="n"/>
      <c r="K40" s="154" t="n"/>
      <c r="L40" s="154" t="n"/>
      <c r="M40" s="149" t="n"/>
      <c r="N40" s="164" t="n"/>
      <c r="O40" s="177" t="n"/>
      <c r="P40" s="164" t="n"/>
      <c r="Q40" s="177" t="n"/>
      <c r="R40" s="155" t="n"/>
      <c r="S40" s="151" t="n"/>
      <c r="T40" s="141" t="n"/>
      <c r="U40" s="141" t="n"/>
      <c r="V40" s="141" t="n"/>
      <c r="W40" s="152" t="n"/>
      <c r="X40" s="141" t="n"/>
      <c r="Y40" s="141" t="n"/>
      <c r="Z40" s="141" t="n"/>
      <c r="AA40" s="141" t="n"/>
    </row>
    <row r="41" ht="18" customHeight="1">
      <c r="A41" s="142" t="n"/>
      <c r="B41" s="153" t="inlineStr">
        <is>
          <t>Vanadio (V)</t>
        </is>
      </c>
      <c r="C41" s="154" t="n">
        <v>0</v>
      </c>
      <c r="D41" s="154" t="n"/>
      <c r="E41" s="154" t="n"/>
      <c r="F41" s="154" t="n"/>
      <c r="G41" s="154" t="n"/>
      <c r="H41" s="154" t="n"/>
      <c r="I41" s="154" t="n"/>
      <c r="J41" s="154" t="n"/>
      <c r="K41" s="154" t="n"/>
      <c r="L41" s="154" t="n"/>
      <c r="M41" s="149" t="n"/>
      <c r="N41" s="164" t="n"/>
      <c r="O41" s="177" t="n"/>
      <c r="P41" s="164" t="n"/>
      <c r="Q41" s="177" t="n"/>
      <c r="R41" s="155" t="n"/>
      <c r="S41" s="151" t="n"/>
      <c r="T41" s="141" t="n"/>
      <c r="U41" s="141" t="n"/>
      <c r="V41" s="141" t="n"/>
      <c r="W41" s="152" t="n"/>
      <c r="X41" s="141" t="n"/>
      <c r="Y41" s="141" t="n"/>
      <c r="Z41" s="141" t="n"/>
      <c r="AA41" s="141" t="n"/>
    </row>
    <row r="42" ht="18" customFormat="1" customHeight="1" s="173">
      <c r="A42" s="171" t="n"/>
      <c r="B42" s="153" t="inlineStr">
        <is>
          <t>Ni (Niquel)</t>
        </is>
      </c>
      <c r="C42" s="154" t="n">
        <v>0</v>
      </c>
      <c r="D42" s="154" t="n"/>
      <c r="E42" s="154" t="n"/>
      <c r="F42" s="154" t="n"/>
      <c r="G42" s="154" t="n"/>
      <c r="H42" s="154" t="n"/>
      <c r="I42" s="154" t="n"/>
      <c r="J42" s="154" t="n"/>
      <c r="K42" s="154" t="n"/>
      <c r="L42" s="154" t="n"/>
      <c r="M42" s="140" t="n"/>
      <c r="N42" s="164" t="n"/>
      <c r="O42" s="178" t="n"/>
      <c r="P42" s="164" t="n"/>
      <c r="Q42" s="178" t="n"/>
      <c r="R42" s="172" t="n"/>
      <c r="S42" s="151" t="n"/>
      <c r="T42" s="141" t="n"/>
      <c r="U42" s="141" t="n"/>
      <c r="V42" s="141" t="n"/>
      <c r="W42" s="152" t="n"/>
      <c r="X42" s="141" t="n"/>
      <c r="Y42" s="141" t="n"/>
      <c r="Z42" s="141" t="n"/>
      <c r="AA42" s="141" t="n"/>
    </row>
    <row r="43" ht="18" customFormat="1" customHeight="1" s="173">
      <c r="A43" s="171" t="n"/>
      <c r="B43" s="158" t="n"/>
      <c r="C43" s="158" t="n"/>
      <c r="D43" s="158" t="n"/>
      <c r="E43" s="158" t="n"/>
      <c r="F43" s="158" t="n"/>
      <c r="G43" s="158" t="n"/>
      <c r="H43" s="158" t="n"/>
      <c r="I43" s="158" t="n"/>
      <c r="J43" s="158" t="n"/>
      <c r="K43" s="158" t="n"/>
      <c r="L43" s="158" t="n"/>
      <c r="M43" s="141" t="n"/>
      <c r="N43" s="180" t="n"/>
      <c r="O43" s="180" t="n"/>
      <c r="P43" s="180" t="n"/>
      <c r="Q43" s="180" t="n"/>
      <c r="R43" s="172" t="n"/>
      <c r="S43" s="151" t="n"/>
      <c r="T43" s="141" t="n"/>
      <c r="U43" s="141" t="n"/>
      <c r="V43" s="141" t="n"/>
      <c r="W43" s="152" t="n"/>
      <c r="X43" s="141" t="n"/>
      <c r="Y43" s="141" t="n"/>
      <c r="Z43" s="141" t="n"/>
      <c r="AA43" s="141" t="n"/>
    </row>
    <row r="44" ht="18" customHeight="1">
      <c r="A44" s="142" t="n"/>
      <c r="B44" s="275" t="inlineStr">
        <is>
          <t>DESGATE DEL EQUIPO  - PPM (mg/kg)</t>
        </is>
      </c>
      <c r="C44" s="446" t="n"/>
      <c r="D44" s="446" t="n"/>
      <c r="E44" s="446" t="n"/>
      <c r="F44" s="446" t="n"/>
      <c r="G44" s="446" t="n"/>
      <c r="H44" s="446" t="n"/>
      <c r="I44" s="446" t="n"/>
      <c r="J44" s="446" t="n"/>
      <c r="K44" s="446" t="n"/>
      <c r="L44" s="447" t="n"/>
      <c r="N44" s="276" t="inlineStr">
        <is>
          <t>* Rangos Generales</t>
        </is>
      </c>
      <c r="O44" s="436" t="n"/>
      <c r="P44" s="436" t="n"/>
      <c r="Q44" s="437" t="n"/>
      <c r="R44" s="155" t="n"/>
      <c r="S44" s="151" t="n"/>
      <c r="T44" s="141" t="n"/>
      <c r="U44" s="141" t="n"/>
      <c r="V44" s="141" t="n"/>
      <c r="W44" s="152" t="n"/>
      <c r="X44" s="141" t="n"/>
      <c r="Y44" s="141" t="n"/>
      <c r="Z44" s="141" t="n"/>
      <c r="AA44" s="141" t="n"/>
    </row>
    <row r="45" ht="18" customHeight="1">
      <c r="A45" s="142" t="n"/>
      <c r="B45" s="448" t="n"/>
      <c r="C45" s="449" t="n"/>
      <c r="D45" s="449" t="n"/>
      <c r="E45" s="449" t="n"/>
      <c r="F45" s="449" t="n"/>
      <c r="G45" s="449" t="n"/>
      <c r="H45" s="449" t="n"/>
      <c r="I45" s="449" t="n"/>
      <c r="J45" s="449" t="n"/>
      <c r="K45" s="449" t="n"/>
      <c r="L45" s="450" t="n"/>
      <c r="M45" s="149" t="n"/>
      <c r="N45" s="276" t="inlineStr">
        <is>
          <t>Precaución</t>
        </is>
      </c>
      <c r="O45" s="437" t="n"/>
      <c r="P45" s="276" t="inlineStr">
        <is>
          <t>Anormal</t>
        </is>
      </c>
      <c r="Q45" s="437" t="n"/>
      <c r="R45" s="181" t="n"/>
      <c r="S45" s="151" t="n"/>
      <c r="T45" s="141" t="n"/>
      <c r="U45" s="141" t="n"/>
      <c r="V45" s="141" t="n"/>
      <c r="W45" s="152" t="n"/>
      <c r="X45" s="141" t="n"/>
      <c r="Y45" s="141" t="n"/>
      <c r="Z45" s="141" t="n"/>
      <c r="AA45" s="141" t="n"/>
    </row>
    <row r="46" ht="18" customHeight="1">
      <c r="A46" s="142" t="n"/>
      <c r="B46" s="153" t="inlineStr">
        <is>
          <t>Fe (Hierro)</t>
        </is>
      </c>
      <c r="C46" s="154" t="n">
        <v>0</v>
      </c>
      <c r="D46" s="154" t="n"/>
      <c r="E46" s="154" t="n"/>
      <c r="F46" s="154" t="n"/>
      <c r="G46" s="154" t="n"/>
      <c r="H46" s="154" t="n"/>
      <c r="I46" s="154" t="n"/>
      <c r="J46" s="154" t="n"/>
      <c r="K46" s="154" t="n"/>
      <c r="L46" s="154" t="n"/>
      <c r="M46" s="149" t="n"/>
      <c r="N46" s="164" t="n"/>
      <c r="O46" s="177" t="n"/>
      <c r="P46" s="164" t="n"/>
      <c r="Q46" s="177" t="n"/>
      <c r="R46" s="155" t="n"/>
      <c r="S46" s="151" t="n"/>
      <c r="T46" s="141" t="n"/>
      <c r="U46" s="141" t="n"/>
      <c r="V46" s="141" t="n"/>
      <c r="W46" s="152" t="n"/>
      <c r="X46" s="141" t="n"/>
      <c r="Y46" s="141" t="n"/>
      <c r="Z46" s="141" t="n"/>
      <c r="AA46" s="141" t="n"/>
    </row>
    <row r="47" ht="18" customHeight="1">
      <c r="A47" s="142" t="n"/>
      <c r="B47" s="153" t="inlineStr">
        <is>
          <t>Cr (Cromo)</t>
        </is>
      </c>
      <c r="C47" s="154" t="n">
        <v>0</v>
      </c>
      <c r="D47" s="154" t="n"/>
      <c r="E47" s="154" t="n"/>
      <c r="F47" s="154" t="n"/>
      <c r="G47" s="154" t="n"/>
      <c r="H47" s="154" t="n"/>
      <c r="I47" s="154" t="n"/>
      <c r="J47" s="154" t="n"/>
      <c r="K47" s="154" t="n"/>
      <c r="L47" s="154" t="n"/>
      <c r="M47" s="149" t="n"/>
      <c r="N47" s="164" t="n"/>
      <c r="O47" s="177" t="n"/>
      <c r="P47" s="164" t="n"/>
      <c r="Q47" s="177" t="n"/>
      <c r="R47" s="155" t="n"/>
      <c r="S47" s="151" t="n"/>
      <c r="T47" s="141" t="n"/>
      <c r="U47" s="141" t="n"/>
      <c r="V47" s="141" t="n"/>
      <c r="W47" s="152" t="n"/>
      <c r="X47" s="141" t="n"/>
      <c r="Y47" s="141" t="n"/>
      <c r="Z47" s="141" t="n"/>
      <c r="AA47" s="141" t="n"/>
    </row>
    <row r="48" ht="18" customHeight="1">
      <c r="A48" s="142" t="n"/>
      <c r="B48" s="153" t="inlineStr">
        <is>
          <t>Al (Aluminio)</t>
        </is>
      </c>
      <c r="C48" s="154" t="n">
        <v>0</v>
      </c>
      <c r="D48" s="154" t="n"/>
      <c r="E48" s="154" t="n"/>
      <c r="F48" s="154" t="n"/>
      <c r="G48" s="154" t="n"/>
      <c r="H48" s="154" t="n"/>
      <c r="I48" s="154" t="n"/>
      <c r="J48" s="154" t="n"/>
      <c r="K48" s="154" t="n"/>
      <c r="L48" s="154" t="n"/>
      <c r="M48" s="149" t="n"/>
      <c r="N48" s="164" t="n"/>
      <c r="O48" s="177" t="n"/>
      <c r="P48" s="164" t="n"/>
      <c r="Q48" s="177" t="n"/>
      <c r="R48" s="155" t="n"/>
      <c r="S48" s="151" t="n"/>
      <c r="T48" s="141" t="n"/>
      <c r="U48" s="141" t="n"/>
      <c r="V48" s="141" t="n"/>
      <c r="W48" s="152" t="n"/>
      <c r="X48" s="141" t="n"/>
      <c r="Y48" s="141" t="n"/>
      <c r="Z48" s="141" t="n"/>
      <c r="AA48" s="141" t="n"/>
    </row>
    <row r="49" ht="18" customHeight="1">
      <c r="A49" s="142" t="n"/>
      <c r="B49" s="153" t="inlineStr">
        <is>
          <t>Cu (Cobre)</t>
        </is>
      </c>
      <c r="C49" s="154" t="n">
        <v>0</v>
      </c>
      <c r="D49" s="154" t="n"/>
      <c r="E49" s="154" t="n"/>
      <c r="F49" s="154" t="n"/>
      <c r="G49" s="154" t="n"/>
      <c r="H49" s="154" t="n"/>
      <c r="I49" s="154" t="n"/>
      <c r="J49" s="154" t="n"/>
      <c r="K49" s="154" t="n"/>
      <c r="L49" s="154" t="n"/>
      <c r="M49" s="167" t="n"/>
      <c r="N49" s="164" t="n"/>
      <c r="O49" s="177" t="n"/>
      <c r="P49" s="164" t="n"/>
      <c r="Q49" s="177" t="n"/>
      <c r="R49" s="155" t="n"/>
      <c r="S49" s="151" t="n"/>
      <c r="T49" s="141" t="n"/>
      <c r="U49" s="141" t="n"/>
      <c r="V49" s="141" t="n"/>
      <c r="W49" s="152" t="n"/>
      <c r="X49" s="141" t="n"/>
      <c r="Y49" s="141" t="n"/>
      <c r="Z49" s="141" t="n"/>
      <c r="AA49" s="141" t="n"/>
    </row>
    <row r="50" ht="18" customHeight="1">
      <c r="A50" s="142" t="n"/>
      <c r="B50" s="153" t="inlineStr">
        <is>
          <t>Pb (Plomo)</t>
        </is>
      </c>
      <c r="C50" s="154" t="n">
        <v>0</v>
      </c>
      <c r="D50" s="154" t="n"/>
      <c r="E50" s="154" t="n"/>
      <c r="F50" s="154" t="n"/>
      <c r="G50" s="154" t="n"/>
      <c r="H50" s="154" t="n"/>
      <c r="I50" s="154" t="n"/>
      <c r="J50" s="154" t="n"/>
      <c r="K50" s="154" t="n"/>
      <c r="L50" s="154" t="n"/>
      <c r="M50" s="149" t="n"/>
      <c r="N50" s="164" t="n"/>
      <c r="O50" s="177" t="n"/>
      <c r="P50" s="164" t="n"/>
      <c r="Q50" s="177" t="n"/>
      <c r="R50" s="155" t="n"/>
      <c r="S50" s="151" t="n"/>
      <c r="T50" s="141" t="n"/>
      <c r="U50" s="141" t="n"/>
      <c r="V50" s="141" t="n"/>
      <c r="W50" s="152" t="n"/>
      <c r="X50" s="141" t="n"/>
      <c r="Y50" s="141" t="n"/>
      <c r="Z50" s="141" t="n"/>
      <c r="AA50" s="141" t="n"/>
    </row>
    <row r="51" ht="18" customFormat="1" customHeight="1" s="173">
      <c r="A51" s="171" t="n"/>
      <c r="B51" s="153" t="inlineStr">
        <is>
          <t>Estaño (Sn)</t>
        </is>
      </c>
      <c r="C51" s="154" t="n">
        <v>0</v>
      </c>
      <c r="D51" s="154" t="n"/>
      <c r="E51" s="154" t="n"/>
      <c r="F51" s="154" t="n"/>
      <c r="G51" s="154" t="n"/>
      <c r="H51" s="154" t="n"/>
      <c r="I51" s="154" t="n"/>
      <c r="J51" s="154" t="n"/>
      <c r="K51" s="154" t="n"/>
      <c r="L51" s="154" t="n"/>
      <c r="M51" s="149" t="n"/>
      <c r="N51" s="164" t="n"/>
      <c r="O51" s="177" t="n"/>
      <c r="P51" s="164" t="n"/>
      <c r="Q51" s="177" t="n"/>
      <c r="R51" s="172" t="n"/>
      <c r="S51" s="151" t="n"/>
      <c r="T51" s="141" t="n"/>
      <c r="U51" s="141" t="n"/>
      <c r="V51" s="141" t="n"/>
      <c r="W51" s="152" t="n"/>
      <c r="X51" s="141" t="n"/>
      <c r="Y51" s="141" t="n"/>
      <c r="Z51" s="141" t="n"/>
    </row>
    <row r="52" ht="18" customHeight="1">
      <c r="A52" s="142" t="n"/>
      <c r="B52" s="158" t="n"/>
      <c r="C52" s="158" t="n"/>
      <c r="D52" s="158" t="n"/>
      <c r="E52" s="158" t="n"/>
      <c r="F52" s="158" t="n"/>
      <c r="G52" s="158" t="n"/>
      <c r="H52" s="158" t="n"/>
      <c r="I52" s="158" t="n"/>
      <c r="J52" s="158" t="n"/>
      <c r="K52" s="158" t="n"/>
      <c r="L52" s="158" t="n"/>
      <c r="N52" s="174" t="n"/>
      <c r="O52" s="182" t="n"/>
      <c r="P52" s="183" t="n"/>
      <c r="Q52" s="183" t="n"/>
      <c r="R52" s="155" t="n"/>
      <c r="S52" s="151" t="n"/>
      <c r="T52" s="141" t="n"/>
      <c r="U52" s="141" t="n"/>
      <c r="V52" s="141" t="n"/>
      <c r="W52" s="152" t="n"/>
      <c r="X52" s="141" t="n"/>
      <c r="Y52" s="141" t="n"/>
      <c r="Z52" s="141" t="n"/>
      <c r="AA52" s="141" t="n"/>
    </row>
    <row r="53" ht="18" customFormat="1" customHeight="1" s="173">
      <c r="A53" s="171" t="n"/>
      <c r="B53" s="275" t="inlineStr">
        <is>
          <t>OTROS ELEMENTOS - PPM (mg/kg)</t>
        </is>
      </c>
      <c r="C53" s="446" t="n"/>
      <c r="D53" s="446" t="n"/>
      <c r="E53" s="446" t="n"/>
      <c r="F53" s="446" t="n"/>
      <c r="G53" s="446" t="n"/>
      <c r="H53" s="446" t="n"/>
      <c r="I53" s="446" t="n"/>
      <c r="J53" s="446" t="n"/>
      <c r="K53" s="446" t="n"/>
      <c r="L53" s="447" t="n"/>
      <c r="M53" s="140" t="n"/>
      <c r="N53" s="276" t="inlineStr">
        <is>
          <t>* Rangos Generales</t>
        </is>
      </c>
      <c r="O53" s="436" t="n"/>
      <c r="P53" s="436" t="n"/>
      <c r="Q53" s="437" t="n"/>
      <c r="R53" s="172" t="n"/>
      <c r="S53" s="151" t="n"/>
      <c r="T53" s="141" t="n"/>
      <c r="U53" s="141" t="n"/>
      <c r="V53" s="141" t="n"/>
      <c r="W53" s="152" t="n"/>
      <c r="X53" s="141" t="n"/>
      <c r="Y53" s="141" t="n"/>
      <c r="Z53" s="141" t="n"/>
      <c r="AA53" s="141" t="n"/>
    </row>
    <row r="54" ht="18" customFormat="1" customHeight="1" s="173">
      <c r="A54" s="171" t="n"/>
      <c r="B54" s="448" t="n"/>
      <c r="C54" s="449" t="n"/>
      <c r="D54" s="449" t="n"/>
      <c r="E54" s="449" t="n"/>
      <c r="F54" s="449" t="n"/>
      <c r="G54" s="449" t="n"/>
      <c r="H54" s="449" t="n"/>
      <c r="I54" s="449" t="n"/>
      <c r="J54" s="449" t="n"/>
      <c r="K54" s="449" t="n"/>
      <c r="L54" s="450" t="n"/>
      <c r="M54" s="149" t="n"/>
      <c r="N54" s="276" t="inlineStr">
        <is>
          <t>Precaución</t>
        </is>
      </c>
      <c r="O54" s="437" t="n"/>
      <c r="P54" s="276" t="inlineStr">
        <is>
          <t>Anormal</t>
        </is>
      </c>
      <c r="Q54" s="437" t="n"/>
      <c r="R54" s="172" t="n"/>
      <c r="S54" s="151" t="n"/>
      <c r="T54" s="141" t="n"/>
      <c r="U54" s="141" t="n"/>
      <c r="V54" s="141" t="n"/>
      <c r="W54" s="152" t="n"/>
      <c r="X54" s="141" t="n"/>
      <c r="Y54" s="141" t="n"/>
      <c r="Z54" s="141" t="n"/>
    </row>
    <row r="55" ht="18" customFormat="1" customHeight="1" s="173">
      <c r="A55" s="171" t="n"/>
      <c r="B55" s="153" t="inlineStr">
        <is>
          <t>Mo (Molibdeno)</t>
        </is>
      </c>
      <c r="C55" s="154" t="n">
        <v>0</v>
      </c>
      <c r="D55" s="154" t="n"/>
      <c r="E55" s="154" t="n"/>
      <c r="F55" s="154" t="n"/>
      <c r="G55" s="154" t="n"/>
      <c r="H55" s="154" t="n"/>
      <c r="I55" s="154" t="n"/>
      <c r="J55" s="154" t="n"/>
      <c r="K55" s="154" t="n"/>
      <c r="L55" s="154" t="n"/>
      <c r="M55" s="149" t="n"/>
      <c r="N55" s="164" t="n"/>
      <c r="O55" s="178" t="n"/>
      <c r="P55" s="164" t="n"/>
      <c r="Q55" s="178" t="n"/>
      <c r="R55" s="172" t="n"/>
      <c r="S55" s="151" t="n"/>
      <c r="T55" s="141" t="n"/>
      <c r="U55" s="141" t="n"/>
      <c r="V55" s="141" t="n"/>
      <c r="W55" s="152" t="n"/>
      <c r="X55" s="141" t="n"/>
      <c r="Y55" s="141" t="n"/>
      <c r="Z55" s="141" t="n"/>
    </row>
    <row r="56" ht="18" customFormat="1" customHeight="1" s="173">
      <c r="A56" s="171" t="n"/>
      <c r="B56" s="153" t="inlineStr">
        <is>
          <t>B (Boro)</t>
        </is>
      </c>
      <c r="C56" s="154" t="n">
        <v>0</v>
      </c>
      <c r="D56" s="154" t="n"/>
      <c r="E56" s="154" t="n"/>
      <c r="F56" s="154" t="n"/>
      <c r="G56" s="154" t="n"/>
      <c r="H56" s="154" t="n"/>
      <c r="I56" s="154" t="n"/>
      <c r="J56" s="154" t="n"/>
      <c r="K56" s="154" t="n"/>
      <c r="L56" s="154" t="n"/>
      <c r="M56" s="149" t="n"/>
      <c r="N56" s="164" t="n"/>
      <c r="O56" s="178" t="n"/>
      <c r="P56" s="164" t="n"/>
      <c r="Q56" s="178" t="n"/>
      <c r="R56" s="172" t="n"/>
      <c r="S56" s="151" t="n"/>
      <c r="T56" s="141" t="n"/>
      <c r="U56" s="141" t="n"/>
      <c r="V56" s="141" t="n"/>
      <c r="W56" s="152" t="n"/>
      <c r="X56" s="141" t="n"/>
      <c r="Y56" s="141" t="n"/>
      <c r="Z56" s="141" t="n"/>
    </row>
    <row r="57" ht="18" customFormat="1" customHeight="1" s="173">
      <c r="A57" s="171" t="n"/>
      <c r="B57" s="153" t="inlineStr">
        <is>
          <t>Ba (Bario)</t>
        </is>
      </c>
      <c r="C57" s="154" t="n">
        <v>0</v>
      </c>
      <c r="D57" s="154" t="n"/>
      <c r="E57" s="154" t="n"/>
      <c r="F57" s="154" t="n"/>
      <c r="G57" s="154" t="n"/>
      <c r="H57" s="154" t="n"/>
      <c r="I57" s="154" t="n"/>
      <c r="J57" s="154" t="n"/>
      <c r="K57" s="154" t="n"/>
      <c r="L57" s="154" t="n"/>
      <c r="M57" s="149" t="n"/>
      <c r="N57" s="164" t="n"/>
      <c r="O57" s="178" t="n"/>
      <c r="P57" s="164" t="n"/>
      <c r="Q57" s="178" t="n"/>
      <c r="R57" s="172" t="n"/>
      <c r="S57" s="151" t="n"/>
      <c r="T57" s="141" t="n"/>
      <c r="U57" s="141" t="n"/>
      <c r="V57" s="141" t="n"/>
      <c r="W57" s="152" t="n"/>
      <c r="X57" s="141" t="n"/>
      <c r="Y57" s="141" t="n"/>
      <c r="Z57" s="141" t="n"/>
    </row>
    <row r="58" ht="18" customFormat="1" customHeight="1" s="173">
      <c r="A58" s="171" t="n"/>
      <c r="B58" s="153" t="inlineStr">
        <is>
          <t>Ti (Titaniao)</t>
        </is>
      </c>
      <c r="C58" s="154" t="n">
        <v>0</v>
      </c>
      <c r="D58" s="154" t="n"/>
      <c r="E58" s="154" t="n"/>
      <c r="F58" s="154" t="n"/>
      <c r="G58" s="154" t="n"/>
      <c r="H58" s="154" t="n"/>
      <c r="I58" s="154" t="n"/>
      <c r="J58" s="154" t="n"/>
      <c r="K58" s="154" t="n"/>
      <c r="L58" s="154" t="n"/>
      <c r="M58" s="140" t="n"/>
      <c r="N58" s="164" t="n"/>
      <c r="O58" s="178" t="n"/>
      <c r="P58" s="164" t="n"/>
      <c r="Q58" s="178" t="n"/>
      <c r="R58" s="172" t="n"/>
      <c r="S58" s="151" t="n"/>
      <c r="T58" s="141" t="n"/>
      <c r="U58" s="141" t="n"/>
      <c r="V58" s="141" t="n"/>
      <c r="W58" s="152" t="n"/>
      <c r="X58" s="141" t="n"/>
      <c r="Y58" s="141" t="n"/>
      <c r="Z58" s="141" t="n"/>
      <c r="AA58" s="141" t="n"/>
    </row>
    <row r="59" ht="18" customFormat="1" customHeight="1" s="173">
      <c r="A59" s="171" t="n"/>
      <c r="B59" s="153" t="inlineStr">
        <is>
          <t>Ag (Plata)</t>
        </is>
      </c>
      <c r="C59" s="154" t="n">
        <v>0</v>
      </c>
      <c r="D59" s="154" t="n"/>
      <c r="E59" s="154" t="n"/>
      <c r="F59" s="154" t="n"/>
      <c r="G59" s="154" t="n"/>
      <c r="H59" s="154" t="n"/>
      <c r="I59" s="154" t="n"/>
      <c r="J59" s="154" t="n"/>
      <c r="K59" s="154" t="n"/>
      <c r="L59" s="154" t="n"/>
      <c r="M59" s="149" t="n"/>
      <c r="N59" s="164" t="n"/>
      <c r="O59" s="178" t="n"/>
      <c r="P59" s="164" t="n"/>
      <c r="Q59" s="178" t="n"/>
      <c r="R59" s="172" t="n"/>
      <c r="S59" s="151" t="n"/>
      <c r="T59" s="141" t="n"/>
      <c r="U59" s="141" t="n"/>
      <c r="V59" s="141" t="n"/>
      <c r="W59" s="152" t="n"/>
      <c r="X59" s="141" t="n"/>
      <c r="Y59" s="141" t="n"/>
      <c r="Z59" s="141" t="n"/>
      <c r="AA59" s="141" t="n"/>
    </row>
    <row r="60" ht="18" customFormat="1" customHeight="1" s="173">
      <c r="A60" s="171" t="n"/>
      <c r="B60" s="158" t="n"/>
      <c r="C60" s="158" t="n"/>
      <c r="D60" s="158" t="n"/>
      <c r="E60" s="158" t="n"/>
      <c r="F60" s="158" t="n"/>
      <c r="G60" s="158" t="n"/>
      <c r="H60" s="158" t="n"/>
      <c r="I60" s="158" t="n"/>
      <c r="J60" s="158" t="n"/>
      <c r="K60" s="158" t="n"/>
      <c r="L60" s="158" t="n"/>
      <c r="M60" s="141" t="n"/>
      <c r="N60" s="141" t="n"/>
      <c r="O60" s="141" t="n"/>
      <c r="P60" s="141" t="n"/>
      <c r="Q60" s="141" t="n"/>
      <c r="R60" s="172" t="n"/>
      <c r="S60" s="151" t="n"/>
      <c r="T60" s="141" t="n"/>
      <c r="U60" s="141" t="n"/>
      <c r="V60" s="141" t="n"/>
      <c r="W60" s="152" t="n"/>
      <c r="X60" s="141" t="n"/>
      <c r="Y60" s="141" t="n"/>
      <c r="Z60" s="141" t="n"/>
      <c r="AA60" s="141" t="n"/>
    </row>
    <row r="61" ht="18" customFormat="1" customHeight="1" s="173">
      <c r="A61" s="171" t="n"/>
      <c r="B61" s="275" t="inlineStr">
        <is>
          <t>PRESENCIA DE ADITIVOS - PPM (mg/kg)</t>
        </is>
      </c>
      <c r="C61" s="446" t="n"/>
      <c r="D61" s="446" t="n"/>
      <c r="E61" s="446" t="n"/>
      <c r="F61" s="446" t="n"/>
      <c r="G61" s="446" t="n"/>
      <c r="H61" s="446" t="n"/>
      <c r="I61" s="446" t="n"/>
      <c r="J61" s="446" t="n"/>
      <c r="K61" s="446" t="n"/>
      <c r="L61" s="447" t="n"/>
      <c r="M61" s="141" t="n"/>
      <c r="N61" s="141" t="n"/>
      <c r="O61" s="141" t="n"/>
      <c r="P61" s="141" t="n"/>
      <c r="Q61" s="141" t="n"/>
      <c r="R61" s="172" t="n"/>
      <c r="S61" s="151" t="n"/>
      <c r="T61" s="141" t="n"/>
      <c r="U61" s="141" t="n"/>
      <c r="V61" s="141" t="n"/>
      <c r="W61" s="152" t="n"/>
      <c r="X61" s="141" t="n"/>
      <c r="Y61" s="141" t="n"/>
      <c r="Z61" s="141" t="n"/>
      <c r="AA61" s="141" t="n"/>
    </row>
    <row r="62" ht="18" customHeight="1">
      <c r="A62" s="142" t="n"/>
      <c r="B62" s="448" t="n"/>
      <c r="C62" s="449" t="n"/>
      <c r="D62" s="449" t="n"/>
      <c r="E62" s="449" t="n"/>
      <c r="F62" s="449" t="n"/>
      <c r="G62" s="449" t="n"/>
      <c r="H62" s="449" t="n"/>
      <c r="I62" s="449" t="n"/>
      <c r="J62" s="449" t="n"/>
      <c r="K62" s="449" t="n"/>
      <c r="L62" s="450" t="n"/>
      <c r="M62" s="141" t="n"/>
      <c r="N62" s="141" t="n"/>
      <c r="O62" s="141" t="n"/>
      <c r="P62" s="141" t="n"/>
      <c r="Q62" s="141" t="n"/>
      <c r="R62" s="155" t="n"/>
      <c r="S62" s="151" t="n"/>
      <c r="T62" s="141" t="n"/>
      <c r="U62" s="141" t="n"/>
      <c r="V62" s="141" t="n"/>
      <c r="W62" s="152" t="n"/>
      <c r="X62" s="141" t="n"/>
      <c r="Y62" s="141" t="n"/>
      <c r="Z62" s="141" t="n"/>
      <c r="AA62" s="141" t="n"/>
    </row>
    <row r="63" ht="18" customHeight="1">
      <c r="A63" s="142" t="n"/>
      <c r="B63" s="153" t="inlineStr">
        <is>
          <t>Ca (Calcio)</t>
        </is>
      </c>
      <c r="C63" s="154" t="n">
        <v>0</v>
      </c>
      <c r="D63" s="154" t="n"/>
      <c r="E63" s="154" t="n"/>
      <c r="F63" s="154" t="n"/>
      <c r="G63" s="154" t="n"/>
      <c r="H63" s="154" t="n"/>
      <c r="I63" s="154" t="n"/>
      <c r="J63" s="154" t="n"/>
      <c r="K63" s="154" t="n"/>
      <c r="L63" s="154" t="n"/>
      <c r="M63" s="141" t="n"/>
      <c r="N63" s="141" t="n"/>
      <c r="O63" s="141" t="n"/>
      <c r="P63" s="141" t="n"/>
      <c r="Q63" s="141" t="n"/>
      <c r="R63" s="155" t="n"/>
      <c r="S63" s="151" t="n"/>
      <c r="T63" s="141" t="n"/>
      <c r="U63" s="141" t="n"/>
      <c r="V63" s="141" t="n"/>
      <c r="W63" s="152" t="n"/>
      <c r="X63" s="141" t="n"/>
      <c r="Y63" s="141" t="n"/>
      <c r="Z63" s="141" t="n"/>
      <c r="AA63" s="141" t="n"/>
    </row>
    <row r="64" ht="18" customHeight="1">
      <c r="A64" s="142" t="n"/>
      <c r="B64" s="153" t="inlineStr">
        <is>
          <t>Mg (Magnesio)</t>
        </is>
      </c>
      <c r="C64" s="154" t="n">
        <v>0</v>
      </c>
      <c r="D64" s="154" t="n"/>
      <c r="E64" s="154" t="n"/>
      <c r="F64" s="154" t="n"/>
      <c r="G64" s="154" t="n"/>
      <c r="H64" s="154" t="n"/>
      <c r="I64" s="154" t="n"/>
      <c r="J64" s="154" t="n"/>
      <c r="K64" s="154" t="n"/>
      <c r="L64" s="154" t="n"/>
      <c r="M64" s="141" t="n"/>
      <c r="N64" s="141" t="n"/>
      <c r="O64" s="141" t="n"/>
      <c r="P64" s="141" t="n"/>
      <c r="Q64" s="141" t="n"/>
      <c r="R64" s="155" t="n"/>
      <c r="S64" s="151" t="n"/>
      <c r="T64" s="141" t="n"/>
      <c r="U64" s="141" t="n"/>
      <c r="V64" s="141" t="n"/>
      <c r="W64" s="152" t="n"/>
      <c r="X64" s="141" t="n"/>
      <c r="Y64" s="141" t="n"/>
      <c r="Z64" s="141" t="n"/>
      <c r="AA64" s="141" t="n"/>
    </row>
    <row r="65" ht="18" customHeight="1">
      <c r="A65" s="142" t="n"/>
      <c r="B65" s="153" t="inlineStr">
        <is>
          <t>Zn (Zinc)</t>
        </is>
      </c>
      <c r="C65" s="154" t="n">
        <v>0</v>
      </c>
      <c r="D65" s="154" t="n"/>
      <c r="E65" s="154" t="n"/>
      <c r="F65" s="154" t="n"/>
      <c r="G65" s="154" t="n"/>
      <c r="H65" s="154" t="n"/>
      <c r="I65" s="154" t="n"/>
      <c r="J65" s="154" t="n"/>
      <c r="K65" s="154" t="n"/>
      <c r="L65" s="154" t="n"/>
      <c r="M65" s="141" t="n"/>
      <c r="N65" s="141" t="n"/>
      <c r="O65" s="141" t="n"/>
      <c r="P65" s="141" t="n"/>
      <c r="Q65" s="141" t="n"/>
      <c r="R65" s="155" t="n"/>
      <c r="S65" s="151" t="n"/>
      <c r="T65" s="141" t="n"/>
      <c r="U65" s="141" t="n"/>
      <c r="V65" s="141" t="n"/>
      <c r="W65" s="152" t="n"/>
      <c r="X65" s="141" t="n"/>
      <c r="Y65" s="141" t="n"/>
      <c r="Z65" s="141" t="n"/>
      <c r="AA65" s="141" t="n"/>
    </row>
    <row r="66" ht="18" customHeight="1">
      <c r="A66" s="142" t="n"/>
      <c r="B66" s="153" t="inlineStr">
        <is>
          <t>P (Fosforo)</t>
        </is>
      </c>
      <c r="C66" s="154" t="n">
        <v>0</v>
      </c>
      <c r="D66" s="154" t="n"/>
      <c r="E66" s="154" t="n"/>
      <c r="F66" s="154" t="n"/>
      <c r="G66" s="154" t="n"/>
      <c r="H66" s="154" t="n"/>
      <c r="I66" s="154" t="n"/>
      <c r="J66" s="154" t="n"/>
      <c r="K66" s="154" t="n"/>
      <c r="L66" s="154" t="n"/>
      <c r="M66" s="141" t="n"/>
      <c r="N66" s="141" t="n"/>
      <c r="O66" s="141" t="n"/>
      <c r="P66" s="141" t="n"/>
      <c r="Q66" s="141" t="n"/>
      <c r="R66" s="155" t="n"/>
      <c r="S66" s="151" t="n"/>
      <c r="T66" s="141" t="n"/>
      <c r="U66" s="141" t="n"/>
      <c r="V66" s="141" t="n"/>
      <c r="W66" s="152" t="n"/>
      <c r="X66" s="141" t="n"/>
      <c r="Y66" s="141" t="n"/>
      <c r="Z66" s="141" t="n"/>
      <c r="AA66" s="141" t="n"/>
    </row>
    <row r="67" ht="18" customHeight="1" thickBot="1">
      <c r="A67" s="184" t="n"/>
      <c r="B67" s="185" t="n"/>
      <c r="C67" s="185" t="n"/>
      <c r="D67" s="185" t="n"/>
      <c r="E67" s="185" t="n"/>
      <c r="F67" s="185" t="n"/>
      <c r="G67" s="185" t="n"/>
      <c r="H67" s="185" t="n"/>
      <c r="I67" s="185" t="n"/>
      <c r="J67" s="185" t="n"/>
      <c r="K67" s="185" t="n"/>
      <c r="L67" s="185" t="n"/>
      <c r="M67" s="186" t="n"/>
      <c r="N67" s="186" t="n"/>
      <c r="O67" s="187" t="n"/>
      <c r="P67" s="187" t="n"/>
      <c r="Q67" s="187" t="n"/>
      <c r="R67" s="188" t="n"/>
      <c r="S67" s="151" t="n"/>
      <c r="T67" s="141" t="n"/>
      <c r="U67" s="141" t="n"/>
      <c r="V67" s="141" t="n"/>
      <c r="W67" s="152" t="n"/>
      <c r="X67" s="141" t="n"/>
      <c r="Y67" s="141" t="n"/>
      <c r="Z67" s="141" t="n"/>
      <c r="AA67" s="141" t="n"/>
    </row>
    <row r="68" ht="15" customHeight="1">
      <c r="A68" s="189" t="n"/>
      <c r="B68" s="190" t="n"/>
      <c r="C68" s="190" t="n"/>
      <c r="D68" s="190" t="n"/>
      <c r="E68" s="190" t="n"/>
      <c r="F68" s="190" t="n"/>
      <c r="G68" s="190" t="n"/>
      <c r="H68" s="190" t="n"/>
      <c r="I68" s="190" t="n"/>
      <c r="J68" s="190" t="n"/>
      <c r="K68" s="190" t="n"/>
      <c r="L68" s="190" t="n"/>
      <c r="M68" s="190" t="n"/>
      <c r="N68" s="190" t="n"/>
      <c r="O68" s="190" t="n"/>
      <c r="P68" s="190" t="n"/>
      <c r="Q68" s="190" t="n"/>
      <c r="R68" s="190" t="n"/>
      <c r="S68" s="190" t="n"/>
      <c r="T68" s="190" t="n"/>
      <c r="U68" s="190" t="n"/>
      <c r="V68" s="190" t="n"/>
      <c r="W68" s="191" t="n"/>
      <c r="X68" s="141" t="n"/>
      <c r="Y68" s="141" t="n"/>
      <c r="Z68" s="141" t="n"/>
      <c r="AA68" s="141" t="n"/>
    </row>
    <row r="69" ht="15" customHeight="1">
      <c r="A69" s="142" t="n"/>
      <c r="B69" s="149" t="inlineStr">
        <is>
          <t>ELABORADO POR:</t>
        </is>
      </c>
      <c r="D69" s="149" t="inlineStr">
        <is>
          <t>REVISADO POR:</t>
        </is>
      </c>
      <c r="E69" s="149" t="n"/>
      <c r="F69" s="149" t="n"/>
      <c r="W69" s="155" t="n"/>
      <c r="X69" s="141" t="n"/>
      <c r="Y69" s="141" t="n"/>
      <c r="Z69" s="141" t="n"/>
      <c r="AA69" s="141" t="n"/>
    </row>
    <row r="70" ht="42" customHeight="1">
      <c r="A70" s="142" t="n"/>
      <c r="G70" s="141" t="n"/>
      <c r="H70" s="141" t="n"/>
      <c r="I70" s="141" t="n"/>
      <c r="J70" s="141" t="n"/>
      <c r="K70" s="141" t="n"/>
      <c r="L70" s="141" t="n"/>
      <c r="W70" s="155" t="n"/>
      <c r="X70" s="141" t="n"/>
      <c r="Y70" s="141" t="n"/>
      <c r="Z70" s="141" t="n"/>
      <c r="AA70" s="141" t="n"/>
    </row>
    <row r="71" ht="41.25" customHeight="1" thickBot="1">
      <c r="A71" s="142" t="n"/>
      <c r="B71" s="192" t="n"/>
      <c r="D71" s="192" t="n"/>
      <c r="E71" s="192" t="n"/>
      <c r="F71" s="192" t="n"/>
      <c r="G71" s="141" t="n"/>
      <c r="H71" s="141" t="n"/>
      <c r="I71" s="141" t="n"/>
      <c r="J71" s="141" t="n"/>
      <c r="K71" s="141" t="n"/>
      <c r="L71" s="141" t="n"/>
      <c r="W71" s="155" t="n"/>
      <c r="X71" s="141" t="n"/>
      <c r="Y71" s="141" t="n"/>
      <c r="Z71" s="141" t="n"/>
      <c r="AA71" s="141" t="n"/>
    </row>
    <row r="72" ht="15" customHeight="1">
      <c r="A72" s="142" t="n"/>
      <c r="B72" s="149" t="inlineStr">
        <is>
          <t>Analista Autorizado</t>
        </is>
      </c>
      <c r="D72" s="149" t="inlineStr">
        <is>
          <t>Jefe de Servicio Post Venta</t>
        </is>
      </c>
      <c r="E72" s="149" t="n"/>
      <c r="F72" s="149" t="n"/>
      <c r="W72" s="155" t="n"/>
      <c r="X72" s="141" t="n"/>
      <c r="Y72" s="141" t="n"/>
      <c r="Z72" s="141" t="n"/>
      <c r="AA72" s="141" t="n"/>
    </row>
    <row r="73" ht="15" customHeight="1">
      <c r="A73" s="142" t="n"/>
      <c r="B73" s="149" t="inlineStr">
        <is>
          <t>Dpto. Laboratorio</t>
        </is>
      </c>
      <c r="D73" s="149" t="inlineStr">
        <is>
          <t>Dpto. Técnico y Laboratorio</t>
        </is>
      </c>
      <c r="E73" s="149" t="n"/>
      <c r="F73" s="149" t="n"/>
      <c r="W73" s="155" t="n"/>
      <c r="X73" s="141" t="n"/>
      <c r="Y73" s="141" t="n"/>
      <c r="Z73" s="141" t="n"/>
      <c r="AA73" s="141" t="n"/>
    </row>
    <row r="74" ht="12.75" customHeight="1" thickBot="1">
      <c r="A74" s="184" t="n"/>
      <c r="B74" s="193" t="inlineStr">
        <is>
          <t>Lubricantes Internacionales S.A.</t>
        </is>
      </c>
      <c r="C74" s="192" t="n"/>
      <c r="D74" s="193" t="inlineStr">
        <is>
          <t>Lubricantes Internacionales S.A.</t>
        </is>
      </c>
      <c r="E74" s="193" t="n"/>
      <c r="F74" s="193" t="n"/>
      <c r="G74" s="192" t="n"/>
      <c r="H74" s="192" t="n"/>
      <c r="I74" s="192" t="n"/>
      <c r="J74" s="192" t="n"/>
      <c r="K74" s="192" t="n"/>
      <c r="L74" s="192" t="n"/>
      <c r="M74" s="192" t="n"/>
      <c r="N74" s="192" t="n"/>
      <c r="O74" s="192" t="n"/>
      <c r="P74" s="192" t="n"/>
      <c r="Q74" s="192" t="n"/>
      <c r="R74" s="192" t="n"/>
      <c r="S74" s="192" t="n"/>
      <c r="T74" s="192" t="n"/>
      <c r="U74" s="192" t="n"/>
      <c r="V74" s="192" t="n"/>
      <c r="W74" s="188" t="n"/>
    </row>
    <row r="75" ht="15.75" customHeight="1" thickBot="1">
      <c r="A75" s="184" t="n"/>
      <c r="B75" s="194" t="inlineStr">
        <is>
          <t>VEN-FOR-006E  VERSION:1 FECHA 2021-SEPT-14</t>
        </is>
      </c>
      <c r="C75" s="192" t="n"/>
      <c r="D75" s="192" t="n"/>
      <c r="E75" s="192" t="n"/>
      <c r="F75" s="192" t="n"/>
      <c r="G75" s="192" t="n"/>
      <c r="H75" s="192" t="n"/>
      <c r="I75" s="192" t="n"/>
      <c r="J75" s="192" t="n"/>
      <c r="K75" s="192" t="n"/>
      <c r="L75" s="192" t="n"/>
      <c r="M75" s="192" t="n"/>
      <c r="N75" s="192" t="n"/>
      <c r="O75" s="192" t="n"/>
      <c r="P75" s="192" t="n"/>
      <c r="Q75" s="192" t="n"/>
      <c r="R75" s="192" t="n"/>
      <c r="S75" s="192" t="n"/>
      <c r="T75" s="192" t="n"/>
      <c r="U75" s="192" t="n"/>
      <c r="V75" s="192" t="n"/>
      <c r="W75" s="192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Ds26NRaK4LvmPw4VFsOWiQ==" formatRows="1" sort="1" spinCount="100000" hashValue="m1zOGD2X6vKuy14eA1RDHkUGS5bd1A5H3GQ3xeosWC1TvxujVRnQFJrdG9YIzBVgDCS7R3b0AGzhfI0IHJRz8Q=="/>
  <mergeCells count="47">
    <mergeCell ref="P26:Q26"/>
    <mergeCell ref="H3:K3"/>
    <mergeCell ref="P38:Q38"/>
    <mergeCell ref="N54:O54"/>
    <mergeCell ref="C2:G3"/>
    <mergeCell ref="B37:L38"/>
    <mergeCell ref="B10:L11"/>
    <mergeCell ref="N30:Q30"/>
    <mergeCell ref="L6:R6"/>
    <mergeCell ref="P31:Q31"/>
    <mergeCell ref="B44:L45"/>
    <mergeCell ref="B53:L54"/>
    <mergeCell ref="H5:K5"/>
    <mergeCell ref="A1:W1"/>
    <mergeCell ref="N21:O21"/>
    <mergeCell ref="C4:G8"/>
    <mergeCell ref="S2:W2"/>
    <mergeCell ref="P21:Q21"/>
    <mergeCell ref="H8:K8"/>
    <mergeCell ref="L2:R2"/>
    <mergeCell ref="N20:Q20"/>
    <mergeCell ref="B20:L21"/>
    <mergeCell ref="L7:R7"/>
    <mergeCell ref="S5:W8"/>
    <mergeCell ref="N25:Q25"/>
    <mergeCell ref="B30:L31"/>
    <mergeCell ref="H4:K4"/>
    <mergeCell ref="N37:Q37"/>
    <mergeCell ref="N53:Q53"/>
    <mergeCell ref="N38:O38"/>
    <mergeCell ref="L3:R3"/>
    <mergeCell ref="S3:W4"/>
    <mergeCell ref="H6:K6"/>
    <mergeCell ref="P28:Q28"/>
    <mergeCell ref="N31:O31"/>
    <mergeCell ref="B9:O9"/>
    <mergeCell ref="L5:R5"/>
    <mergeCell ref="A2:B8"/>
    <mergeCell ref="B61:L62"/>
    <mergeCell ref="L8:R8"/>
    <mergeCell ref="L4:R4"/>
    <mergeCell ref="H2:K2"/>
    <mergeCell ref="N44:Q44"/>
    <mergeCell ref="H7:K7"/>
    <mergeCell ref="N45:O45"/>
    <mergeCell ref="P45:Q45"/>
    <mergeCell ref="P54:Q54"/>
  </mergeCells>
  <conditionalFormatting sqref="C22">
    <cfRule type="cellIs" priority="34" operator="greaterThan" dxfId="0" stopIfTrue="1">
      <formula>$Q$22</formula>
    </cfRule>
    <cfRule type="cellIs" priority="33" operator="lessThan" dxfId="0" stopIfTrue="1">
      <formula>$O$22</formula>
    </cfRule>
  </conditionalFormatting>
  <conditionalFormatting sqref="C23">
    <cfRule type="cellIs" priority="31" operator="lessThan" dxfId="0" stopIfTrue="1">
      <formula>$O$23</formula>
    </cfRule>
    <cfRule type="cellIs" priority="32" operator="greaterThan" dxfId="0" stopIfTrue="1">
      <formula>$Q$23</formula>
    </cfRule>
  </conditionalFormatting>
  <conditionalFormatting sqref="C18:L18">
    <cfRule type="containsText" priority="24" operator="containsText" dxfId="2" stopIfTrue="1" text="ANORMAL">
      <formula>NOT(ISERROR(SEARCH("ANORMAL",C18)))</formula>
    </cfRule>
    <cfRule type="containsText" priority="25" operator="containsText" dxfId="3" stopIfTrue="1" text="N/D">
      <formula>NOT(ISERROR(SEARCH("N/D",C18)))</formula>
    </cfRule>
    <cfRule type="containsText" priority="26" operator="containsText" dxfId="0" stopIfTrue="1" text="PRECAUCIÓN">
      <formula>NOT(ISERROR(SEARCH("PRECAUCIÓN",C18)))</formula>
    </cfRule>
    <cfRule type="containsText" priority="27" operator="containsText" dxfId="1" stopIfTrue="1" text="NORMAL">
      <formula>NOT(ISERROR(SEARCH("NORMAL",C18)))</formula>
    </cfRule>
  </conditionalFormatting>
  <conditionalFormatting sqref="C26:L26">
    <cfRule type="cellIs" priority="8" operator="equal" dxfId="2" stopIfTrue="1">
      <formula>"POSITIVO"</formula>
    </cfRule>
  </conditionalFormatting>
  <conditionalFormatting sqref="C27:L27">
    <cfRule type="cellIs" priority="13" operator="greaterThanOrEqual" dxfId="2" stopIfTrue="1">
      <formula>$Q$27</formula>
    </cfRule>
  </conditionalFormatting>
  <conditionalFormatting sqref="C28:L28">
    <cfRule type="cellIs" priority="7" operator="equal" dxfId="2" stopIfTrue="1">
      <formula>"POSITIVO"</formula>
    </cfRule>
  </conditionalFormatting>
  <conditionalFormatting sqref="C32:L32">
    <cfRule type="cellIs" priority="55" operator="greaterThanOrEqual" dxfId="2" stopIfTrue="1">
      <formula>$Q$32</formula>
    </cfRule>
    <cfRule type="cellIs" priority="56" operator="between" dxfId="0" stopIfTrue="1">
      <formula>$O$32</formula>
      <formula>$Q$32</formula>
    </cfRule>
  </conditionalFormatting>
  <conditionalFormatting sqref="C33:L33">
    <cfRule type="cellIs" priority="3" operator="greaterThanOrEqual" dxfId="2" stopIfTrue="1">
      <formula>$Q$33</formula>
    </cfRule>
    <cfRule type="cellIs" priority="4" operator="between" dxfId="0" stopIfTrue="1">
      <formula>$O$33</formula>
      <formula>$Q$33</formula>
    </cfRule>
  </conditionalFormatting>
  <conditionalFormatting sqref="C34:L34">
    <cfRule type="cellIs" priority="5" operator="greaterThanOrEqual" dxfId="2" stopIfTrue="1">
      <formula>$Q$34</formula>
    </cfRule>
    <cfRule type="cellIs" priority="6" operator="between" dxfId="0" stopIfTrue="1">
      <formula>$O$34</formula>
      <formula>$Q$34</formula>
    </cfRule>
  </conditionalFormatting>
  <conditionalFormatting sqref="C35:L35">
    <cfRule type="cellIs" priority="2" operator="between" dxfId="0" stopIfTrue="1">
      <formula>$O$35</formula>
      <formula>$Q$35</formula>
    </cfRule>
    <cfRule type="cellIs" priority="1" operator="greaterThanOrEqual" dxfId="2" stopIfTrue="1">
      <formula>$Q$35</formula>
    </cfRule>
  </conditionalFormatting>
  <conditionalFormatting sqref="C39:L39">
    <cfRule type="cellIs" priority="42" operator="greaterThanOrEqual" dxfId="2" stopIfTrue="1">
      <formula>$Q$39</formula>
    </cfRule>
    <cfRule type="cellIs" priority="43" operator="between" dxfId="0" stopIfTrue="1">
      <formula>$O$39</formula>
      <formula>$Q$39</formula>
    </cfRule>
  </conditionalFormatting>
  <conditionalFormatting sqref="C40:L40">
    <cfRule type="cellIs" priority="40" operator="greaterThanOrEqual" dxfId="2" stopIfTrue="1">
      <formula>$Q$40</formula>
    </cfRule>
    <cfRule type="cellIs" priority="41" operator="between" dxfId="0" stopIfTrue="1">
      <formula>$O$40</formula>
      <formula>$Q$40</formula>
    </cfRule>
  </conditionalFormatting>
  <conditionalFormatting sqref="C41:L41">
    <cfRule type="cellIs" priority="18" operator="greaterThanOrEqual" dxfId="2" stopIfTrue="1">
      <formula>$Q$41</formula>
    </cfRule>
    <cfRule type="cellIs" priority="19" operator="between" dxfId="0" stopIfTrue="1">
      <formula>$O$41</formula>
      <formula>$Q$41</formula>
    </cfRule>
  </conditionalFormatting>
  <conditionalFormatting sqref="C42:L42">
    <cfRule type="cellIs" priority="16" operator="greaterThanOrEqual" dxfId="2" stopIfTrue="1">
      <formula>$Q$42</formula>
    </cfRule>
    <cfRule type="cellIs" priority="17" operator="between" dxfId="0" stopIfTrue="1">
      <formula>$O$42</formula>
      <formula>$Q$42</formula>
    </cfRule>
  </conditionalFormatting>
  <conditionalFormatting sqref="C46:L46">
    <cfRule type="cellIs" priority="14" operator="greaterThanOrEqual" dxfId="2" stopIfTrue="1">
      <formula>$Q$46</formula>
    </cfRule>
    <cfRule type="cellIs" priority="15" operator="between" dxfId="0" stopIfTrue="1">
      <formula>$O$46</formula>
      <formula>$Q$46</formula>
    </cfRule>
  </conditionalFormatting>
  <conditionalFormatting sqref="C47:L47">
    <cfRule type="cellIs" priority="51" operator="between" dxfId="0" stopIfTrue="1">
      <formula>$O$47</formula>
      <formula>$Q$47</formula>
    </cfRule>
    <cfRule type="cellIs" priority="50" operator="greaterThanOrEqual" dxfId="2" stopIfTrue="1">
      <formula>$Q$47</formula>
    </cfRule>
  </conditionalFormatting>
  <conditionalFormatting sqref="C48:L48">
    <cfRule type="cellIs" priority="52" operator="greaterThanOrEqual" dxfId="2" stopIfTrue="1">
      <formula>$Q$48</formula>
    </cfRule>
    <cfRule type="cellIs" priority="53" operator="between" dxfId="0" stopIfTrue="1">
      <formula>$O$48</formula>
      <formula>$Q$48</formula>
    </cfRule>
  </conditionalFormatting>
  <conditionalFormatting sqref="C49:L49">
    <cfRule type="cellIs" priority="48" operator="greaterThanOrEqual" dxfId="2" stopIfTrue="1">
      <formula>$Q$49</formula>
    </cfRule>
    <cfRule type="cellIs" priority="49" operator="between" dxfId="0" stopIfTrue="1">
      <formula>$O$49</formula>
      <formula>$Q$49</formula>
    </cfRule>
  </conditionalFormatting>
  <conditionalFormatting sqref="C50:L50">
    <cfRule type="cellIs" priority="46" operator="greaterThanOrEqual" dxfId="2" stopIfTrue="1">
      <formula>$Q$50</formula>
    </cfRule>
    <cfRule type="cellIs" priority="47" operator="between" dxfId="0" stopIfTrue="1">
      <formula>$O$50</formula>
      <formula>$Q$50</formula>
    </cfRule>
  </conditionalFormatting>
  <conditionalFormatting sqref="C51:L51">
    <cfRule type="cellIs" priority="44" operator="greaterThanOrEqual" dxfId="2" stopIfTrue="1">
      <formula>$Q$51</formula>
    </cfRule>
    <cfRule type="cellIs" priority="45" operator="between" dxfId="0" stopIfTrue="1">
      <formula>$O$51</formula>
      <formula>$Q$51</formula>
    </cfRule>
  </conditionalFormatting>
  <conditionalFormatting sqref="C55:L55">
    <cfRule type="cellIs" priority="39" operator="greaterThanOrEqual" dxfId="2" stopIfTrue="1">
      <formula>$Q$55</formula>
    </cfRule>
  </conditionalFormatting>
  <conditionalFormatting sqref="C56:L56">
    <cfRule type="cellIs" priority="38" operator="greaterThanOrEqual" dxfId="2" stopIfTrue="1">
      <formula>$Q$56</formula>
    </cfRule>
  </conditionalFormatting>
  <conditionalFormatting sqref="C57:L57">
    <cfRule type="cellIs" priority="37" operator="greaterThanOrEqual" dxfId="2" stopIfTrue="1">
      <formula>$Q$57</formula>
    </cfRule>
  </conditionalFormatting>
  <conditionalFormatting sqref="C58:L58">
    <cfRule type="cellIs" priority="35" operator="greaterThanOrEqual" dxfId="2" stopIfTrue="1">
      <formula>$Q$58</formula>
    </cfRule>
  </conditionalFormatting>
  <conditionalFormatting sqref="C59:L59">
    <cfRule type="cellIs" priority="36" operator="greaterThanOrEqual" dxfId="2" stopIfTrue="1">
      <formula>$Q$59</formula>
    </cfRule>
  </conditionalFormatting>
  <conditionalFormatting sqref="S3">
    <cfRule type="containsText" priority="20" operator="containsText" dxfId="3" stopIfTrue="1" text="SIN EVALUACIÓN">
      <formula>NOT(ISERROR(SEARCH("SIN EVALUACIÓN",S3)))</formula>
    </cfRule>
    <cfRule type="containsText" priority="23" operator="containsText" dxfId="2" stopIfTrue="1" text="PARÁMETROS ANORMALES">
      <formula>NOT(ISERROR(SEARCH("PARÁMETROS ANORMALES",S3)))</formula>
    </cfRule>
    <cfRule type="containsText" priority="22" operator="containsText" dxfId="1" stopIfTrue="1" text="PARÁMETROS NORMALES">
      <formula>NOT(ISERROR(SEARCH("PARÁMETROS NORMALES",S3)))</formula>
    </cfRule>
    <cfRule type="containsText" priority="21" operator="containsText" dxfId="0" stopIfTrue="1" text="PRECAUCIÓN">
      <formula>NOT(ISERROR(SEARCH("PRECAUCIÓN",S3)))</formula>
    </cfRule>
  </conditionalFormatting>
  <conditionalFormatting sqref="X21:AB21">
    <cfRule type="iconSet" priority="62">
      <iconSet iconSet="3Arrows">
        <cfvo type="percent" val="0"/>
        <cfvo type="percent" val="33"/>
        <cfvo type="percent" val="67"/>
      </iconSet>
    </cfRule>
  </conditionalFormatting>
  <conditionalFormatting sqref="X31:AB31">
    <cfRule type="iconSet" priority="61">
      <iconSet iconSet="3Arrows">
        <cfvo type="percent" val="0"/>
        <cfvo type="percent" val="33"/>
        <cfvo type="percent" val="67"/>
      </iconSet>
    </cfRule>
  </conditionalFormatting>
  <dataValidations count="4">
    <dataValidation sqref="C18:L18" showDropDown="0" showInputMessage="1" showErrorMessage="1" allowBlank="1" type="list">
      <formula1>"NORMAL,PRECAUCIÓN,ANORMAL,N/D"</formula1>
    </dataValidation>
    <dataValidation sqref="L2" showDropDown="0" showInputMessage="1" showErrorMessage="1" allowBlank="1" error="PARAMETROS FUERA DEL LIMITE CONDENATORIO_x000a_"/>
    <dataValidation sqref="S3" showDropDown="0" showInputMessage="1" showErrorMessage="1" allowBlank="1" type="list">
      <formula1>"PARÁMETROS NORMALES,PRECAUCIÓN,PARÁMETROS ANORMALES,SIN EVALUACIÓN"</formula1>
    </dataValidation>
    <dataValidation sqref="C26:L26 C28:L28" showDropDown="0" showInputMessage="1" showErrorMessage="1" allowBlank="1" type="list">
      <formula1>"NEGATIVO, POSITIVO"</formula1>
    </dataValidation>
  </dataValidations>
  <pageMargins left="0" right="0" top="0" bottom="0" header="0" footer="0"/>
  <pageSetup orientation="landscape" scale="42"/>
  <colBreaks count="1" manualBreakCount="1">
    <brk id="23" min="0" max="1048575" man="1"/>
  </colBreaks>
</worksheet>
</file>

<file path=xl/worksheets/sheet4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AH75"/>
  <sheetViews>
    <sheetView showGridLines="0" view="pageBreakPreview" topLeftCell="A57" zoomScale="70" zoomScaleNormal="100" zoomScaleSheetLayoutView="70" workbookViewId="0">
      <selection activeCell="B89" sqref="B89"/>
    </sheetView>
  </sheetViews>
  <sheetFormatPr baseColWidth="10" defaultRowHeight="12"/>
  <cols>
    <col width="3.5703125" customWidth="1" style="140" min="1" max="1"/>
    <col width="54" customWidth="1" style="140" min="2" max="2"/>
    <col width="14.85546875" customWidth="1" style="140" min="3" max="12"/>
    <col width="2.140625" customWidth="1" style="140" min="13" max="13"/>
    <col width="4" customWidth="1" style="140" min="14" max="14"/>
    <col width="6.85546875" customWidth="1" style="140" min="15" max="15"/>
    <col width="4.140625" customWidth="1" style="140" min="16" max="16"/>
    <col width="6.7109375" customWidth="1" style="140" min="17" max="17"/>
    <col width="6.5703125" customWidth="1" style="140" min="18" max="18"/>
    <col width="22.42578125" customWidth="1" style="140" min="19" max="19"/>
    <col width="15.28515625" customWidth="1" style="140" min="20" max="23"/>
    <col width="11.42578125" customWidth="1" style="140" min="24" max="16384"/>
  </cols>
  <sheetData>
    <row r="1" ht="27.95" customHeight="1" thickBot="1">
      <c r="A1" s="424" t="inlineStr">
        <is>
          <t>REPORTE DE ANÁLISIS DE LUBRICANTE</t>
        </is>
      </c>
      <c r="B1" s="425" t="n"/>
      <c r="C1" s="425" t="n"/>
      <c r="D1" s="425" t="n"/>
      <c r="E1" s="425" t="n"/>
      <c r="F1" s="425" t="n"/>
      <c r="G1" s="425" t="n"/>
      <c r="H1" s="425" t="n"/>
      <c r="I1" s="425" t="n"/>
      <c r="J1" s="425" t="n"/>
      <c r="K1" s="425" t="n"/>
      <c r="L1" s="425" t="n"/>
      <c r="M1" s="425" t="n"/>
      <c r="N1" s="425" t="n"/>
      <c r="O1" s="425" t="n"/>
      <c r="P1" s="425" t="n"/>
      <c r="Q1" s="425" t="n"/>
      <c r="R1" s="425" t="n"/>
      <c r="S1" s="425" t="n"/>
      <c r="T1" s="425" t="n"/>
      <c r="U1" s="425" t="n"/>
      <c r="V1" s="425" t="n"/>
      <c r="W1" s="426" t="n"/>
    </row>
    <row r="2" ht="24" customHeight="1" thickBot="1">
      <c r="A2" s="427" t="n"/>
      <c r="B2" s="428" t="n"/>
      <c r="C2" s="429" t="inlineStr">
        <is>
          <t>NOMBRE DEL CLIENTE:</t>
        </is>
      </c>
      <c r="D2" s="430" t="n"/>
      <c r="E2" s="430" t="n"/>
      <c r="F2" s="430" t="n"/>
      <c r="G2" s="428" t="n"/>
      <c r="H2" s="311" t="inlineStr">
        <is>
          <t>Compartimento:</t>
        </is>
      </c>
      <c r="I2" s="431" t="n"/>
      <c r="J2" s="431" t="n"/>
      <c r="K2" s="432" t="n"/>
      <c r="L2" s="348">
        <f>Datos!A155</f>
        <v/>
      </c>
      <c r="M2" s="431" t="n"/>
      <c r="N2" s="431" t="n"/>
      <c r="O2" s="431" t="n"/>
      <c r="P2" s="431" t="n"/>
      <c r="Q2" s="431" t="n"/>
      <c r="R2" s="432" t="n"/>
      <c r="S2" s="433" t="inlineStr">
        <is>
          <t>Diagnóstico de la última muestra:</t>
        </is>
      </c>
      <c r="T2" s="425" t="n"/>
      <c r="U2" s="425" t="n"/>
      <c r="V2" s="425" t="n"/>
      <c r="W2" s="426" t="n"/>
      <c r="X2" s="141" t="n"/>
      <c r="Y2" s="141" t="n"/>
      <c r="Z2" s="141" t="n"/>
      <c r="AA2" s="141" t="inlineStr">
        <is>
          <t>DIFERENCIAL POSTERIOR</t>
        </is>
      </c>
      <c r="AB2" s="141" t="n"/>
    </row>
    <row r="3" ht="24" customHeight="1">
      <c r="A3" s="151" t="n"/>
      <c r="B3" s="434" t="n"/>
      <c r="C3" s="435" t="n"/>
      <c r="D3" s="141" t="n"/>
      <c r="E3" s="141" t="n"/>
      <c r="F3" s="141" t="n"/>
      <c r="G3" s="434" t="n"/>
      <c r="H3" s="317" t="inlineStr">
        <is>
          <t>Equipo:</t>
        </is>
      </c>
      <c r="I3" s="436" t="n"/>
      <c r="J3" s="436" t="n"/>
      <c r="K3" s="437" t="n"/>
      <c r="L3" s="210">
        <f>MOTOR!AA3</f>
        <v/>
      </c>
      <c r="M3" s="399" t="n"/>
      <c r="N3" s="399" t="n"/>
      <c r="O3" s="399" t="n"/>
      <c r="P3" s="399" t="n"/>
      <c r="Q3" s="399" t="n"/>
      <c r="R3" s="400" t="n"/>
      <c r="S3" s="438" t="inlineStr">
        <is>
          <t>SIN EVALUACIÓN</t>
        </is>
      </c>
      <c r="T3" s="430" t="n"/>
      <c r="U3" s="430" t="n"/>
      <c r="V3" s="430" t="n"/>
      <c r="W3" s="439" t="n"/>
      <c r="X3" s="141" t="n"/>
      <c r="Y3" s="141" t="n"/>
      <c r="Z3" s="141" t="n"/>
      <c r="AA3" s="141" t="inlineStr">
        <is>
          <t>UG 00</t>
        </is>
      </c>
      <c r="AB3" s="141" t="n"/>
      <c r="AH3" t="inlineStr">
        <is>
          <t>SIN EVALUACION</t>
        </is>
      </c>
    </row>
    <row r="4" ht="24" customHeight="1" thickBot="1">
      <c r="A4" s="151" t="n"/>
      <c r="B4" s="434" t="n"/>
      <c r="C4" s="404" t="inlineStr">
        <is>
          <t>JUSTICE COMPANY</t>
        </is>
      </c>
      <c r="G4" s="397" t="n"/>
      <c r="H4" s="317" t="inlineStr">
        <is>
          <t>Marca:</t>
        </is>
      </c>
      <c r="I4" s="436" t="n"/>
      <c r="J4" s="436" t="n"/>
      <c r="K4" s="437" t="n"/>
      <c r="L4" s="210">
        <f>MOTOR!AA4</f>
        <v/>
      </c>
      <c r="M4" s="399" t="n"/>
      <c r="N4" s="399" t="n"/>
      <c r="O4" s="399" t="n"/>
      <c r="P4" s="399" t="n"/>
      <c r="Q4" s="399" t="n"/>
      <c r="R4" s="400" t="n"/>
      <c r="S4" s="440" t="n"/>
      <c r="T4" s="187" t="n"/>
      <c r="U4" s="187" t="n"/>
      <c r="V4" s="187" t="n"/>
      <c r="W4" s="441" t="n"/>
      <c r="X4" s="141" t="n"/>
      <c r="Y4" s="141" t="n"/>
      <c r="Z4" s="141" t="n"/>
      <c r="AA4" s="141" t="inlineStr">
        <is>
          <t>MARCA EQUIPO</t>
        </is>
      </c>
      <c r="AB4" s="141" t="n"/>
    </row>
    <row r="5" ht="24" customHeight="1">
      <c r="A5" s="151" t="n"/>
      <c r="B5" s="434" t="n"/>
      <c r="C5" s="398" t="n"/>
      <c r="G5" s="397" t="n"/>
      <c r="H5" s="317" t="inlineStr">
        <is>
          <t>Serie:</t>
        </is>
      </c>
      <c r="I5" s="436" t="n"/>
      <c r="J5" s="436" t="n"/>
      <c r="K5" s="437" t="n"/>
      <c r="L5" s="210">
        <f>MOTOR!AA5</f>
        <v/>
      </c>
      <c r="M5" s="399" t="n"/>
      <c r="N5" s="399" t="n"/>
      <c r="O5" s="399" t="n"/>
      <c r="P5" s="399" t="n"/>
      <c r="Q5" s="399" t="n"/>
      <c r="R5" s="400" t="n"/>
      <c r="S5" s="442" t="n"/>
      <c r="T5" s="430" t="n"/>
      <c r="U5" s="430" t="n"/>
      <c r="V5" s="430" t="n"/>
      <c r="W5" s="439" t="n"/>
      <c r="X5" s="141" t="n"/>
      <c r="Y5" s="141" t="n"/>
      <c r="Z5" s="141" t="n"/>
      <c r="AA5" s="141" t="inlineStr">
        <is>
          <t>SERIE</t>
        </is>
      </c>
      <c r="AB5" s="141" t="n"/>
    </row>
    <row r="6" ht="24" customHeight="1">
      <c r="A6" s="151" t="n"/>
      <c r="B6" s="434" t="n"/>
      <c r="C6" s="398" t="n"/>
      <c r="G6" s="397" t="n"/>
      <c r="H6" s="317" t="inlineStr">
        <is>
          <t>Modelo:</t>
        </is>
      </c>
      <c r="I6" s="436" t="n"/>
      <c r="J6" s="436" t="n"/>
      <c r="K6" s="437" t="n"/>
      <c r="L6" s="210">
        <f>MOTOR!AA6</f>
        <v/>
      </c>
      <c r="M6" s="399" t="n"/>
      <c r="N6" s="399" t="n"/>
      <c r="O6" s="399" t="n"/>
      <c r="P6" s="399" t="n"/>
      <c r="Q6" s="399" t="n"/>
      <c r="R6" s="400" t="n"/>
      <c r="S6" s="151" t="n"/>
      <c r="T6" s="141" t="n"/>
      <c r="U6" s="141" t="n"/>
      <c r="V6" s="141" t="n"/>
      <c r="W6" s="152" t="n"/>
      <c r="X6" s="141" t="n"/>
      <c r="Y6" s="141" t="n"/>
      <c r="Z6" s="141" t="n"/>
      <c r="AA6" s="141" t="inlineStr">
        <is>
          <t>MODELO</t>
        </is>
      </c>
      <c r="AB6" s="141" t="n"/>
    </row>
    <row r="7" ht="24" customHeight="1">
      <c r="A7" s="151" t="n"/>
      <c r="B7" s="434" t="n"/>
      <c r="C7" s="398" t="n"/>
      <c r="G7" s="397" t="n"/>
      <c r="H7" s="317" t="inlineStr">
        <is>
          <t>Lubricante:</t>
        </is>
      </c>
      <c r="I7" s="436" t="n"/>
      <c r="J7" s="436" t="n"/>
      <c r="K7" s="437" t="n"/>
      <c r="L7" s="330" t="n"/>
      <c r="M7" s="436" t="n"/>
      <c r="N7" s="436" t="n"/>
      <c r="O7" s="436" t="n"/>
      <c r="P7" s="436" t="n"/>
      <c r="Q7" s="436" t="n"/>
      <c r="R7" s="437" t="n"/>
      <c r="S7" s="151" t="n"/>
      <c r="T7" s="141" t="n"/>
      <c r="U7" s="141" t="n"/>
      <c r="V7" s="141" t="n"/>
      <c r="W7" s="152" t="n"/>
      <c r="X7" s="141" t="n"/>
      <c r="Y7" s="141" t="n"/>
      <c r="Z7" s="141" t="n"/>
      <c r="AA7" s="141" t="inlineStr">
        <is>
          <t>15W40</t>
        </is>
      </c>
      <c r="AB7" s="141" t="n"/>
    </row>
    <row r="8" ht="24" customHeight="1" thickBot="1">
      <c r="A8" s="440" t="n"/>
      <c r="B8" s="443" t="n"/>
      <c r="C8" s="409" t="n"/>
      <c r="D8" s="73" t="n"/>
      <c r="E8" s="73" t="n"/>
      <c r="F8" s="73" t="n"/>
      <c r="G8" s="408" t="n"/>
      <c r="H8" s="283" t="inlineStr">
        <is>
          <t xml:space="preserve">Marca del Lubricante: </t>
        </is>
      </c>
      <c r="I8" s="444" t="n"/>
      <c r="J8" s="444" t="n"/>
      <c r="K8" s="445" t="n"/>
      <c r="L8" s="326" t="n"/>
      <c r="M8" s="444" t="n"/>
      <c r="N8" s="444" t="n"/>
      <c r="O8" s="444" t="n"/>
      <c r="P8" s="444" t="n"/>
      <c r="Q8" s="444" t="n"/>
      <c r="R8" s="445" t="n"/>
      <c r="S8" s="440" t="n"/>
      <c r="T8" s="187" t="n"/>
      <c r="U8" s="187" t="n"/>
      <c r="V8" s="187" t="n"/>
      <c r="W8" s="441" t="n"/>
      <c r="X8" s="141" t="n"/>
      <c r="Y8" s="141" t="n"/>
      <c r="Z8" s="141" t="n"/>
      <c r="AA8" s="141" t="inlineStr">
        <is>
          <t>GULF</t>
        </is>
      </c>
      <c r="AB8" s="141" t="n"/>
    </row>
    <row r="9" ht="15.75" customHeight="1">
      <c r="A9" s="142" t="n"/>
      <c r="B9" s="286" t="n"/>
      <c r="C9" s="141" t="n"/>
      <c r="D9" s="141" t="n"/>
      <c r="E9" s="141" t="n"/>
      <c r="F9" s="141" t="n"/>
      <c r="G9" s="141" t="n"/>
      <c r="H9" s="141" t="n"/>
      <c r="I9" s="141" t="n"/>
      <c r="J9" s="141" t="n"/>
      <c r="K9" s="141" t="n"/>
      <c r="L9" s="141" t="n"/>
      <c r="M9" s="141" t="n"/>
      <c r="N9" s="141" t="n"/>
      <c r="O9" s="141" t="n"/>
      <c r="P9" s="286" t="n"/>
      <c r="Q9" s="144" t="n"/>
      <c r="R9" s="145" t="n"/>
      <c r="S9" s="146" t="n"/>
      <c r="T9" s="147" t="n"/>
      <c r="U9" s="147" t="n"/>
      <c r="V9" s="147" t="n"/>
      <c r="W9" s="148" t="n"/>
      <c r="X9" s="141" t="n"/>
      <c r="Y9" s="141" t="n"/>
      <c r="Z9" s="141" t="n"/>
      <c r="AA9" s="141" t="n"/>
      <c r="AB9" s="141" t="n"/>
    </row>
    <row r="10" ht="15.75" customHeight="1">
      <c r="A10" s="142" t="n"/>
      <c r="B10" s="275" t="inlineStr">
        <is>
          <t>INFORMACIÓN DE LA MUESTRA</t>
        </is>
      </c>
      <c r="C10" s="446" t="n"/>
      <c r="D10" s="446" t="n"/>
      <c r="E10" s="446" t="n"/>
      <c r="F10" s="446" t="n"/>
      <c r="G10" s="446" t="n"/>
      <c r="H10" s="446" t="n"/>
      <c r="I10" s="446" t="n"/>
      <c r="J10" s="446" t="n"/>
      <c r="K10" s="446" t="n"/>
      <c r="L10" s="447" t="n"/>
      <c r="M10" s="144" t="n"/>
      <c r="N10" s="144" t="n"/>
      <c r="O10" s="144" t="n"/>
      <c r="P10" s="144" t="n"/>
      <c r="Q10" s="144" t="n"/>
      <c r="R10" s="145" t="n"/>
      <c r="S10" s="146" t="n"/>
      <c r="T10" s="147" t="n"/>
      <c r="U10" s="147" t="n"/>
      <c r="V10" s="147" t="n"/>
      <c r="W10" s="148" t="n"/>
      <c r="X10" s="141" t="n"/>
      <c r="Y10" s="141" t="n"/>
      <c r="Z10" s="141" t="n"/>
      <c r="AA10" s="141" t="n"/>
      <c r="AB10" s="141" t="n"/>
    </row>
    <row r="11" ht="15" customHeight="1">
      <c r="A11" s="142" t="n"/>
      <c r="B11" s="448" t="n"/>
      <c r="C11" s="449" t="n"/>
      <c r="D11" s="449" t="n"/>
      <c r="E11" s="449" t="n"/>
      <c r="F11" s="449" t="n"/>
      <c r="G11" s="449" t="n"/>
      <c r="H11" s="449" t="n"/>
      <c r="I11" s="449" t="n"/>
      <c r="J11" s="449" t="n"/>
      <c r="K11" s="449" t="n"/>
      <c r="L11" s="450" t="n"/>
      <c r="M11" s="149" t="n"/>
      <c r="N11" s="149" t="n"/>
      <c r="O11" s="149" t="n"/>
      <c r="P11" s="149" t="n"/>
      <c r="Q11" s="149" t="n"/>
      <c r="R11" s="150" t="n"/>
      <c r="S11" s="151" t="n"/>
      <c r="T11" s="141" t="n"/>
      <c r="U11" s="141" t="n"/>
      <c r="V11" s="141" t="n"/>
      <c r="W11" s="152" t="n"/>
      <c r="X11" s="141" t="n"/>
      <c r="Y11" s="141" t="n"/>
      <c r="Z11" s="141" t="n"/>
      <c r="AA11" s="141" t="n"/>
      <c r="AB11" s="141" t="n"/>
    </row>
    <row r="12" ht="18" customHeight="1">
      <c r="A12" s="142" t="n"/>
      <c r="B12" s="153" t="inlineStr">
        <is>
          <t>Numeración de Muestra</t>
        </is>
      </c>
      <c r="C12" s="154" t="inlineStr">
        <is>
          <t>MUESTRA-001</t>
        </is>
      </c>
      <c r="D12" s="154" t="n"/>
      <c r="E12" s="154" t="n"/>
      <c r="F12" s="154" t="n"/>
      <c r="G12" s="154" t="n"/>
      <c r="H12" s="154" t="n"/>
      <c r="I12" s="154" t="n"/>
      <c r="J12" s="154" t="n"/>
      <c r="K12" s="154" t="n"/>
      <c r="L12" s="154" t="n"/>
      <c r="R12" s="155" t="n"/>
      <c r="S12" s="151" t="n"/>
      <c r="T12" s="141" t="n"/>
      <c r="U12" s="141" t="n"/>
      <c r="V12" s="141" t="n"/>
      <c r="W12" s="152" t="n"/>
      <c r="X12" s="141" t="n"/>
      <c r="Y12" s="141" t="n"/>
      <c r="Z12" s="141" t="n"/>
      <c r="AA12" s="141" t="n"/>
      <c r="AB12" s="141" t="n"/>
    </row>
    <row r="13" ht="18" customHeight="1">
      <c r="A13" s="142" t="n"/>
      <c r="B13" s="153" t="inlineStr">
        <is>
          <t>Fecha de Muestreo</t>
        </is>
      </c>
      <c r="C13" s="451" t="inlineStr">
        <is>
          <t>2026-03-28</t>
        </is>
      </c>
      <c r="D13" s="451" t="n"/>
      <c r="E13" s="451" t="n"/>
      <c r="F13" s="451" t="n"/>
      <c r="G13" s="451" t="n"/>
      <c r="H13" s="451" t="n"/>
      <c r="I13" s="451" t="n"/>
      <c r="J13" s="451" t="n"/>
      <c r="K13" s="451" t="n"/>
      <c r="L13" s="451" t="n"/>
      <c r="R13" s="155" t="n"/>
      <c r="S13" s="151" t="n"/>
      <c r="T13" s="141" t="n"/>
      <c r="U13" s="141" t="n"/>
      <c r="V13" s="141" t="n"/>
      <c r="W13" s="152" t="n"/>
      <c r="X13" s="141" t="n"/>
      <c r="Y13" s="141" t="n"/>
      <c r="Z13" s="141" t="n"/>
      <c r="AA13" s="141" t="n"/>
      <c r="AB13" s="141" t="n"/>
    </row>
    <row r="14" ht="15.75" customHeight="1">
      <c r="A14" s="142" t="n"/>
      <c r="B14" s="153" t="inlineStr">
        <is>
          <t>Fecha de Ingreso</t>
        </is>
      </c>
      <c r="C14" s="451" t="inlineStr">
        <is>
          <t>2026-03-29</t>
        </is>
      </c>
      <c r="D14" s="451" t="n"/>
      <c r="E14" s="451" t="n"/>
      <c r="F14" s="451" t="n"/>
      <c r="G14" s="451" t="n"/>
      <c r="H14" s="451" t="n"/>
      <c r="I14" s="451" t="n"/>
      <c r="J14" s="451" t="n"/>
      <c r="K14" s="451" t="n"/>
      <c r="L14" s="451" t="n"/>
      <c r="R14" s="155" t="n"/>
      <c r="S14" s="151" t="n"/>
      <c r="T14" s="141" t="n"/>
      <c r="U14" s="141" t="n"/>
      <c r="V14" s="141" t="n"/>
      <c r="W14" s="152" t="n"/>
      <c r="X14" s="141" t="n"/>
      <c r="Y14" s="141" t="n"/>
      <c r="Z14" s="141" t="n"/>
      <c r="AA14" s="141" t="n"/>
      <c r="AB14" s="141" t="n"/>
    </row>
    <row r="15" ht="18" customHeight="1">
      <c r="A15" s="142" t="n"/>
      <c r="B15" s="153" t="inlineStr">
        <is>
          <t>Fecha de Informe</t>
        </is>
      </c>
      <c r="C15" s="451" t="inlineStr">
        <is>
          <t>2026-03-30</t>
        </is>
      </c>
      <c r="D15" s="451" t="n"/>
      <c r="E15" s="451" t="n"/>
      <c r="F15" s="451" t="n"/>
      <c r="G15" s="451" t="n"/>
      <c r="H15" s="451" t="n"/>
      <c r="I15" s="451" t="n"/>
      <c r="J15" s="451" t="n"/>
      <c r="K15" s="451" t="n"/>
      <c r="L15" s="451" t="n"/>
      <c r="R15" s="155" t="n"/>
      <c r="S15" s="151" t="n"/>
      <c r="T15" s="141" t="n"/>
      <c r="U15" s="141" t="n"/>
      <c r="V15" s="141" t="n"/>
      <c r="W15" s="152" t="n"/>
      <c r="X15" s="141" t="n"/>
      <c r="Y15" s="141" t="n"/>
      <c r="Z15" s="141" t="n"/>
      <c r="AA15" s="141" t="n"/>
      <c r="AB15" s="141" t="n"/>
    </row>
    <row r="16" ht="18" customHeight="1">
      <c r="A16" s="142" t="n"/>
      <c r="B16" s="153" t="inlineStr">
        <is>
          <t>Equipo Hrs/ Km</t>
        </is>
      </c>
      <c r="C16" s="154" t="n">
        <v>12000</v>
      </c>
      <c r="D16" s="154" t="n"/>
      <c r="E16" s="154" t="n"/>
      <c r="F16" s="154" t="n"/>
      <c r="G16" s="154" t="n"/>
      <c r="H16" s="154" t="n"/>
      <c r="I16" s="154" t="n"/>
      <c r="J16" s="154" t="n"/>
      <c r="K16" s="154" t="n"/>
      <c r="L16" s="154" t="n"/>
      <c r="R16" s="155" t="n"/>
      <c r="S16" s="151" t="n"/>
      <c r="T16" s="141" t="n"/>
      <c r="U16" s="141" t="n"/>
      <c r="V16" s="141" t="n"/>
      <c r="W16" s="152" t="n"/>
      <c r="X16" s="141" t="n"/>
      <c r="Y16" s="141" t="n"/>
      <c r="Z16" s="141" t="n"/>
      <c r="AA16" s="141" t="n"/>
      <c r="AB16" s="141" t="n"/>
    </row>
    <row r="17" ht="18" customHeight="1">
      <c r="A17" s="142" t="n"/>
      <c r="B17" s="153" t="inlineStr">
        <is>
          <t>Aceite Hrs/ Km</t>
        </is>
      </c>
      <c r="C17" s="154" t="n">
        <v>320</v>
      </c>
      <c r="D17" s="154" t="n"/>
      <c r="E17" s="154" t="n"/>
      <c r="F17" s="154" t="n"/>
      <c r="G17" s="154" t="n"/>
      <c r="H17" s="154" t="n"/>
      <c r="I17" s="154" t="n"/>
      <c r="J17" s="154" t="n"/>
      <c r="K17" s="154" t="n"/>
      <c r="L17" s="154" t="n"/>
      <c r="R17" s="155" t="n"/>
      <c r="S17" s="151" t="n"/>
      <c r="T17" s="141" t="n"/>
      <c r="U17" s="141" t="n"/>
      <c r="V17" s="141" t="n"/>
      <c r="W17" s="152" t="n"/>
      <c r="X17" s="141" t="n"/>
      <c r="Y17" s="141" t="n"/>
      <c r="Z17" s="141" t="n"/>
      <c r="AA17" s="141" t="n"/>
      <c r="AB17" s="141" t="n"/>
    </row>
    <row r="18" ht="18" customHeight="1">
      <c r="A18" s="142" t="n"/>
      <c r="B18" s="153" t="inlineStr">
        <is>
          <t>Condición</t>
        </is>
      </c>
      <c r="C18" s="157" t="inlineStr">
        <is>
          <t>NORMAL</t>
        </is>
      </c>
      <c r="D18" s="157" t="n"/>
      <c r="E18" s="157" t="n"/>
      <c r="F18" s="157" t="n"/>
      <c r="G18" s="157" t="n"/>
      <c r="H18" s="157" t="n"/>
      <c r="I18" s="157" t="n"/>
      <c r="J18" s="157" t="n"/>
      <c r="K18" s="157" t="n"/>
      <c r="L18" s="157" t="n"/>
      <c r="R18" s="155" t="n"/>
      <c r="S18" s="151" t="n"/>
      <c r="T18" s="141" t="n"/>
      <c r="U18" s="141" t="n"/>
      <c r="V18" s="141" t="n"/>
      <c r="W18" s="152" t="n"/>
      <c r="X18" s="141" t="n"/>
      <c r="Y18" s="141" t="n"/>
      <c r="Z18" s="141" t="n"/>
      <c r="AA18" s="141" t="n"/>
      <c r="AB18" s="141" t="n"/>
    </row>
    <row r="19" ht="18" customHeight="1">
      <c r="A19" s="142" t="n"/>
      <c r="B19" s="158" t="n"/>
      <c r="C19" s="158" t="n"/>
      <c r="D19" s="158" t="n"/>
      <c r="E19" s="158" t="n"/>
      <c r="F19" s="158" t="n"/>
      <c r="G19" s="158" t="n"/>
      <c r="H19" s="158" t="n"/>
      <c r="I19" s="158" t="n"/>
      <c r="J19" s="158" t="n"/>
      <c r="K19" s="158" t="n"/>
      <c r="L19" s="158" t="n"/>
      <c r="R19" s="155" t="n"/>
      <c r="S19" s="151" t="n"/>
      <c r="T19" s="141" t="n"/>
      <c r="U19" s="141" t="n"/>
      <c r="V19" s="141" t="n"/>
      <c r="W19" s="152" t="n"/>
      <c r="X19" s="141" t="n"/>
      <c r="Y19" s="141" t="n"/>
      <c r="Z19" s="141" t="n"/>
      <c r="AA19" s="141" t="n"/>
      <c r="AB19" s="141" t="n"/>
    </row>
    <row r="20" ht="18" customHeight="1">
      <c r="A20" s="142" t="n"/>
      <c r="B20" s="275" t="inlineStr">
        <is>
          <t>ESTADO DEL LUBRICANTE</t>
        </is>
      </c>
      <c r="C20" s="446" t="n"/>
      <c r="D20" s="446" t="n"/>
      <c r="E20" s="446" t="n"/>
      <c r="F20" s="446" t="n"/>
      <c r="G20" s="446" t="n"/>
      <c r="H20" s="446" t="n"/>
      <c r="I20" s="446" t="n"/>
      <c r="J20" s="446" t="n"/>
      <c r="K20" s="446" t="n"/>
      <c r="L20" s="447" t="n"/>
      <c r="N20" s="276" t="inlineStr">
        <is>
          <t>* Rangos Generales</t>
        </is>
      </c>
      <c r="O20" s="436" t="n"/>
      <c r="P20" s="436" t="n"/>
      <c r="Q20" s="437" t="n"/>
      <c r="R20" s="155" t="n"/>
      <c r="S20" s="151" t="n"/>
      <c r="T20" s="141" t="n"/>
      <c r="U20" s="141" t="n"/>
      <c r="V20" s="141" t="n"/>
      <c r="W20" s="152" t="n"/>
      <c r="X20" s="141" t="n"/>
      <c r="Y20" s="141" t="n"/>
      <c r="Z20" s="141" t="n"/>
      <c r="AA20" s="141" t="n"/>
      <c r="AB20" s="141" t="n"/>
    </row>
    <row r="21" ht="18" customHeight="1">
      <c r="A21" s="142" t="n"/>
      <c r="B21" s="448" t="n"/>
      <c r="C21" s="449" t="n"/>
      <c r="D21" s="449" t="n"/>
      <c r="E21" s="449" t="n"/>
      <c r="F21" s="449" t="n"/>
      <c r="G21" s="449" t="n"/>
      <c r="H21" s="449" t="n"/>
      <c r="I21" s="449" t="n"/>
      <c r="J21" s="449" t="n"/>
      <c r="K21" s="449" t="n"/>
      <c r="L21" s="450" t="n"/>
      <c r="M21" s="149" t="n"/>
      <c r="N21" s="276" t="inlineStr">
        <is>
          <t>Precaución</t>
        </is>
      </c>
      <c r="O21" s="437" t="n"/>
      <c r="P21" s="276" t="inlineStr">
        <is>
          <t>Anormal</t>
        </is>
      </c>
      <c r="Q21" s="437" t="n"/>
      <c r="R21" s="155" t="n"/>
      <c r="S21" s="151" t="n"/>
      <c r="T21" s="141" t="n"/>
      <c r="U21" s="141" t="n"/>
      <c r="V21" s="141" t="n"/>
      <c r="W21" s="152" t="n"/>
      <c r="X21" s="286" t="n"/>
      <c r="Y21" s="286" t="n"/>
      <c r="Z21" s="286" t="n"/>
      <c r="AA21" s="286" t="n"/>
      <c r="AB21" s="286" t="n"/>
    </row>
    <row r="22" hidden="1" ht="15.75" customHeight="1">
      <c r="A22" s="142" t="n"/>
      <c r="B22" s="153" t="inlineStr">
        <is>
          <t>Viscosidad a 100ºC, cSt</t>
        </is>
      </c>
      <c r="C22" s="452" t="n">
        <v>0</v>
      </c>
      <c r="D22" s="452" t="n"/>
      <c r="E22" s="452" t="n"/>
      <c r="F22" s="452" t="n"/>
      <c r="G22" s="452" t="n"/>
      <c r="H22" s="452" t="n"/>
      <c r="I22" s="452" t="n"/>
      <c r="J22" s="452" t="n"/>
      <c r="K22" s="452" t="n"/>
      <c r="L22" s="452" t="n"/>
      <c r="M22" s="149" t="n"/>
      <c r="N22" s="160" t="n"/>
      <c r="O22" s="453" t="n"/>
      <c r="P22" s="162" t="n"/>
      <c r="Q22" s="453" t="n"/>
      <c r="R22" s="155" t="n"/>
      <c r="S22" s="151" t="n"/>
      <c r="T22" s="141" t="n"/>
      <c r="U22" s="141" t="n"/>
      <c r="V22" s="141" t="n"/>
      <c r="W22" s="152" t="n"/>
      <c r="X22" s="141" t="n"/>
      <c r="Y22" s="141" t="n"/>
      <c r="Z22" s="141" t="n"/>
      <c r="AA22" s="141" t="n"/>
      <c r="AB22" s="141" t="n"/>
    </row>
    <row r="23" ht="15.75" customHeight="1">
      <c r="A23" s="142" t="n"/>
      <c r="B23" s="153" t="inlineStr">
        <is>
          <t>Viscosidad a 40ºC, cSt</t>
        </is>
      </c>
      <c r="C23" s="452" t="n">
        <v>0</v>
      </c>
      <c r="D23" s="452" t="n"/>
      <c r="E23" s="452" t="n"/>
      <c r="F23" s="452" t="n"/>
      <c r="G23" s="452" t="n"/>
      <c r="H23" s="452" t="n"/>
      <c r="I23" s="452" t="n"/>
      <c r="J23" s="452" t="n"/>
      <c r="K23" s="452" t="n"/>
      <c r="L23" s="452" t="n"/>
      <c r="M23" s="149" t="n"/>
      <c r="N23" s="160" t="n"/>
      <c r="O23" s="453" t="n"/>
      <c r="P23" s="162" t="n"/>
      <c r="Q23" s="453" t="n"/>
      <c r="R23" s="155" t="n"/>
      <c r="S23" s="151" t="n"/>
      <c r="T23" s="141" t="n"/>
      <c r="U23" s="141" t="n"/>
      <c r="V23" s="141" t="n"/>
      <c r="W23" s="152" t="n"/>
      <c r="X23" s="141" t="n"/>
      <c r="Y23" s="141" t="n"/>
      <c r="Z23" s="141" t="n"/>
      <c r="AA23" s="141" t="n"/>
      <c r="AB23" s="141" t="n"/>
    </row>
    <row r="24" hidden="1" ht="15.75" customHeight="1">
      <c r="A24" s="142" t="n"/>
      <c r="B24" s="153" t="inlineStr">
        <is>
          <t>Indice de Viscosidad</t>
        </is>
      </c>
      <c r="C24" s="163" t="n">
        <v>0</v>
      </c>
      <c r="D24" s="163" t="n"/>
      <c r="E24" s="163" t="n"/>
      <c r="F24" s="163" t="n"/>
      <c r="G24" s="163" t="n"/>
      <c r="H24" s="163" t="n"/>
      <c r="I24" s="163" t="n"/>
      <c r="J24" s="163" t="n"/>
      <c r="K24" s="163" t="n"/>
      <c r="L24" s="163" t="n"/>
      <c r="M24" s="149" t="n"/>
      <c r="N24" s="164" t="n"/>
      <c r="O24" s="454" t="n"/>
      <c r="P24" s="164" t="n"/>
      <c r="Q24" s="454" t="n"/>
      <c r="R24" s="155" t="n"/>
      <c r="S24" s="151" t="n"/>
      <c r="T24" s="141" t="n"/>
      <c r="U24" s="141" t="n"/>
      <c r="V24" s="141" t="n"/>
      <c r="W24" s="152" t="n"/>
      <c r="X24" s="141" t="n"/>
      <c r="Y24" s="141" t="n"/>
      <c r="Z24" s="141" t="n"/>
      <c r="AA24" s="141" t="n"/>
      <c r="AB24" s="141" t="n"/>
    </row>
    <row r="25" hidden="1" ht="15.75" customHeight="1">
      <c r="A25" s="142" t="n"/>
      <c r="B25" s="153" t="inlineStr">
        <is>
          <t>T.B.N. mgKOH/gr</t>
        </is>
      </c>
      <c r="C25" s="455" t="n">
        <v>0</v>
      </c>
      <c r="D25" s="455" t="n"/>
      <c r="E25" s="455" t="n"/>
      <c r="F25" s="455" t="n"/>
      <c r="G25" s="455" t="n"/>
      <c r="H25" s="455" t="n"/>
      <c r="I25" s="455" t="n"/>
      <c r="J25" s="455" t="n"/>
      <c r="K25" s="455" t="n"/>
      <c r="L25" s="455" t="n"/>
      <c r="M25" s="167" t="n"/>
      <c r="N25" s="276" t="inlineStr">
        <is>
          <t>[50% TBN -1]</t>
        </is>
      </c>
      <c r="O25" s="436" t="n"/>
      <c r="P25" s="436" t="n"/>
      <c r="Q25" s="437" t="n"/>
      <c r="R25" s="155" t="n"/>
      <c r="S25" s="151" t="n"/>
      <c r="T25" s="141" t="n"/>
      <c r="U25" s="141" t="n"/>
      <c r="V25" s="141" t="n"/>
      <c r="W25" s="152" t="n"/>
    </row>
    <row r="26" ht="18" customHeight="1">
      <c r="A26" s="142" t="n"/>
      <c r="B26" s="153" t="inlineStr">
        <is>
          <t>Humedad</t>
        </is>
      </c>
      <c r="C26" s="154" t="inlineStr">
        <is>
          <t>NEGATIVO</t>
        </is>
      </c>
      <c r="D26" s="154" t="n"/>
      <c r="E26" s="154" t="n"/>
      <c r="F26" s="154" t="n"/>
      <c r="G26" s="154" t="n"/>
      <c r="H26" s="154" t="n"/>
      <c r="I26" s="154" t="n"/>
      <c r="J26" s="154" t="n"/>
      <c r="K26" s="154" t="n"/>
      <c r="L26" s="154" t="n"/>
      <c r="M26" s="149" t="n"/>
      <c r="N26" s="164" t="n"/>
      <c r="O26" s="454" t="n"/>
      <c r="P26" s="290" t="inlineStr">
        <is>
          <t>POSITIVO</t>
        </is>
      </c>
      <c r="Q26" s="437" t="n"/>
      <c r="R26" s="155" t="n"/>
      <c r="S26" s="151" t="n"/>
      <c r="T26" s="141" t="n"/>
      <c r="U26" s="141" t="n"/>
      <c r="V26" s="141" t="n"/>
      <c r="W26" s="152" t="n"/>
      <c r="X26" s="141" t="n"/>
      <c r="Y26" s="141" t="n"/>
      <c r="Z26" s="141" t="n"/>
      <c r="AA26" s="141" t="n"/>
    </row>
    <row r="27" hidden="1" ht="15.75" customHeight="1">
      <c r="A27" s="142" t="n"/>
      <c r="B27" s="153" t="inlineStr">
        <is>
          <t>Glycol,  Abs/cm</t>
        </is>
      </c>
      <c r="C27" s="154" t="n">
        <v>0</v>
      </c>
      <c r="D27" s="154" t="n"/>
      <c r="E27" s="154" t="n"/>
      <c r="F27" s="154" t="n"/>
      <c r="G27" s="154" t="n"/>
      <c r="H27" s="154" t="n"/>
      <c r="I27" s="154" t="n"/>
      <c r="J27" s="154" t="n"/>
      <c r="K27" s="154" t="n"/>
      <c r="L27" s="154" t="n"/>
      <c r="M27" s="149" t="n"/>
      <c r="N27" s="168" t="n"/>
      <c r="O27" s="169" t="n"/>
      <c r="P27" s="168" t="n"/>
      <c r="Q27" s="170" t="n"/>
      <c r="R27" s="155" t="n"/>
      <c r="S27" s="151" t="n"/>
      <c r="T27" s="141" t="n"/>
      <c r="U27" s="141" t="n"/>
      <c r="V27" s="141" t="n"/>
      <c r="W27" s="152" t="n"/>
      <c r="X27" s="141" t="n"/>
      <c r="Y27" s="141" t="n"/>
      <c r="Z27" s="141" t="n"/>
    </row>
    <row r="28" hidden="1" ht="15.75" customFormat="1" customHeight="1" s="173">
      <c r="A28" s="171" t="n"/>
      <c r="B28" s="153" t="inlineStr">
        <is>
          <t>Combustible</t>
        </is>
      </c>
      <c r="C28" s="154" t="inlineStr">
        <is>
          <t>NEGATIVO</t>
        </is>
      </c>
      <c r="D28" s="154" t="n"/>
      <c r="E28" s="154" t="n"/>
      <c r="F28" s="154" t="n"/>
      <c r="G28" s="154" t="n"/>
      <c r="H28" s="154" t="n"/>
      <c r="I28" s="154" t="n"/>
      <c r="J28" s="154" t="n"/>
      <c r="K28" s="154" t="n"/>
      <c r="L28" s="154" t="n"/>
      <c r="M28" s="167" t="n"/>
      <c r="N28" s="164" t="n"/>
      <c r="O28" s="454" t="n"/>
      <c r="P28" s="290" t="inlineStr">
        <is>
          <t>POSITIVO</t>
        </is>
      </c>
      <c r="Q28" s="437" t="n"/>
      <c r="R28" s="172" t="n"/>
      <c r="S28" s="151" t="n"/>
      <c r="T28" s="141" t="n"/>
      <c r="U28" s="141" t="n"/>
      <c r="V28" s="141" t="n"/>
      <c r="W28" s="152" t="n"/>
      <c r="X28" s="141" t="n"/>
      <c r="Y28" s="141" t="n"/>
      <c r="Z28" s="141" t="n"/>
      <c r="AA28" s="141" t="n"/>
    </row>
    <row r="29" ht="18" customHeight="1">
      <c r="A29" s="142" t="n"/>
      <c r="B29" s="158" t="n"/>
      <c r="C29" s="158" t="n"/>
      <c r="D29" s="158" t="n"/>
      <c r="E29" s="158" t="n"/>
      <c r="F29" s="158" t="n"/>
      <c r="G29" s="158" t="n"/>
      <c r="H29" s="158" t="n"/>
      <c r="I29" s="158" t="n"/>
      <c r="J29" s="158" t="n"/>
      <c r="K29" s="158" t="n"/>
      <c r="L29" s="158" t="n"/>
      <c r="N29" s="174" t="n"/>
      <c r="O29" s="175" t="n"/>
      <c r="P29" s="175" t="n"/>
      <c r="Q29" s="175" t="n"/>
      <c r="R29" s="155" t="n"/>
      <c r="S29" s="151" t="n"/>
      <c r="T29" s="141" t="n"/>
      <c r="U29" s="141" t="n"/>
      <c r="V29" s="141" t="n"/>
      <c r="W29" s="152" t="n"/>
    </row>
    <row r="30" ht="18" customHeight="1">
      <c r="A30" s="142" t="n"/>
      <c r="B30" s="275" t="inlineStr">
        <is>
          <t>DEGRADACIÓN QUÍMICA</t>
        </is>
      </c>
      <c r="C30" s="446" t="n"/>
      <c r="D30" s="446" t="n"/>
      <c r="E30" s="446" t="n"/>
      <c r="F30" s="446" t="n"/>
      <c r="G30" s="446" t="n"/>
      <c r="H30" s="446" t="n"/>
      <c r="I30" s="446" t="n"/>
      <c r="J30" s="446" t="n"/>
      <c r="K30" s="446" t="n"/>
      <c r="L30" s="447" t="n"/>
      <c r="N30" s="276" t="inlineStr">
        <is>
          <t>* Rangos Generales</t>
        </is>
      </c>
      <c r="O30" s="436" t="n"/>
      <c r="P30" s="436" t="n"/>
      <c r="Q30" s="437" t="n"/>
      <c r="R30" s="155" t="n"/>
      <c r="S30" s="151" t="n"/>
      <c r="T30" s="141" t="n"/>
      <c r="U30" s="141" t="n"/>
      <c r="V30" s="141" t="n"/>
      <c r="W30" s="152" t="n"/>
    </row>
    <row r="31" ht="18" customHeight="1">
      <c r="A31" s="142" t="n"/>
      <c r="B31" s="448" t="n"/>
      <c r="C31" s="449" t="n"/>
      <c r="D31" s="449" t="n"/>
      <c r="E31" s="449" t="n"/>
      <c r="F31" s="449" t="n"/>
      <c r="G31" s="449" t="n"/>
      <c r="H31" s="449" t="n"/>
      <c r="I31" s="449" t="n"/>
      <c r="J31" s="449" t="n"/>
      <c r="K31" s="449" t="n"/>
      <c r="L31" s="450" t="n"/>
      <c r="M31" s="149" t="n"/>
      <c r="N31" s="276" t="inlineStr">
        <is>
          <t>Precaución</t>
        </is>
      </c>
      <c r="O31" s="437" t="n"/>
      <c r="P31" s="276" t="inlineStr">
        <is>
          <t>Anormal</t>
        </is>
      </c>
      <c r="Q31" s="437" t="n"/>
      <c r="R31" s="155" t="n"/>
      <c r="S31" s="151" t="n"/>
      <c r="T31" s="141" t="n"/>
      <c r="U31" s="141" t="n"/>
      <c r="V31" s="141" t="n"/>
      <c r="W31" s="152" t="n"/>
      <c r="X31" s="286" t="n"/>
      <c r="Y31" s="286" t="n"/>
      <c r="Z31" s="286" t="n"/>
      <c r="AA31" s="286" t="n"/>
      <c r="AB31" s="286" t="n"/>
    </row>
    <row r="32" ht="18" customHeight="1">
      <c r="A32" s="142" t="n"/>
      <c r="B32" s="153" t="inlineStr">
        <is>
          <t>Oxidación, Abs/cm</t>
        </is>
      </c>
      <c r="C32" s="456" t="n">
        <v>0</v>
      </c>
      <c r="D32" s="456" t="n"/>
      <c r="E32" s="456" t="n"/>
      <c r="F32" s="456" t="n"/>
      <c r="G32" s="456" t="n"/>
      <c r="H32" s="456" t="n"/>
      <c r="I32" s="456" t="n"/>
      <c r="J32" s="456" t="n"/>
      <c r="K32" s="456" t="n"/>
      <c r="L32" s="456" t="n"/>
      <c r="M32" s="149" t="n"/>
      <c r="N32" s="164" t="n"/>
      <c r="O32" s="177" t="n"/>
      <c r="P32" s="164" t="n"/>
      <c r="Q32" s="177" t="n"/>
      <c r="R32" s="155" t="n"/>
      <c r="S32" s="151" t="n"/>
      <c r="T32" s="141" t="n"/>
      <c r="U32" s="141" t="n"/>
      <c r="V32" s="141" t="n"/>
      <c r="W32" s="152" t="n"/>
      <c r="X32" s="141" t="n"/>
      <c r="Y32" s="141" t="n"/>
      <c r="Z32" s="141" t="n"/>
    </row>
    <row r="33" hidden="1" ht="15.75" customHeight="1">
      <c r="A33" s="142" t="n"/>
      <c r="B33" s="153" t="inlineStr">
        <is>
          <t>Nitración, Abs/cm</t>
        </is>
      </c>
      <c r="C33" s="423" t="n">
        <v>0</v>
      </c>
      <c r="D33" s="423" t="n"/>
      <c r="E33" s="423" t="n"/>
      <c r="F33" s="423" t="n"/>
      <c r="G33" s="423" t="n"/>
      <c r="H33" s="423" t="n"/>
      <c r="I33" s="423" t="n"/>
      <c r="J33" s="423" t="n"/>
      <c r="K33" s="423" t="n"/>
      <c r="L33" s="423" t="n"/>
      <c r="M33" s="149" t="n"/>
      <c r="N33" s="164" t="n"/>
      <c r="O33" s="177" t="n"/>
      <c r="P33" s="164" t="n"/>
      <c r="Q33" s="177" t="n"/>
      <c r="R33" s="155" t="n"/>
      <c r="S33" s="151" t="n"/>
      <c r="T33" s="141" t="n"/>
      <c r="U33" s="141" t="n"/>
      <c r="V33" s="141" t="n"/>
      <c r="W33" s="152" t="n"/>
    </row>
    <row r="34" hidden="1" ht="15.75" customHeight="1">
      <c r="A34" s="142" t="n"/>
      <c r="B34" s="153" t="inlineStr">
        <is>
          <t>Sulfatación, Abs/cm</t>
        </is>
      </c>
      <c r="C34" s="423" t="n">
        <v>0</v>
      </c>
      <c r="D34" s="423" t="n"/>
      <c r="E34" s="423" t="n"/>
      <c r="F34" s="423" t="n"/>
      <c r="G34" s="423" t="n"/>
      <c r="H34" s="423" t="n"/>
      <c r="I34" s="423" t="n"/>
      <c r="J34" s="423" t="n"/>
      <c r="K34" s="423" t="n"/>
      <c r="L34" s="423" t="n"/>
      <c r="M34" s="149" t="n"/>
      <c r="N34" s="164" t="n"/>
      <c r="O34" s="177" t="n"/>
      <c r="P34" s="164" t="n"/>
      <c r="Q34" s="177" t="n"/>
      <c r="R34" s="155" t="n"/>
      <c r="S34" s="151" t="n"/>
      <c r="T34" s="141" t="n"/>
      <c r="U34" s="141" t="n"/>
      <c r="V34" s="141" t="n"/>
      <c r="W34" s="152" t="n"/>
    </row>
    <row r="35" hidden="1" ht="15.75" customHeight="1">
      <c r="A35" s="142" t="n"/>
      <c r="B35" s="153" t="inlineStr">
        <is>
          <t>Hollín, wt%</t>
        </is>
      </c>
      <c r="C35" s="423" t="n">
        <v>0</v>
      </c>
      <c r="D35" s="423" t="n"/>
      <c r="E35" s="423" t="n"/>
      <c r="F35" s="423" t="n"/>
      <c r="G35" s="423" t="n"/>
      <c r="H35" s="423" t="n"/>
      <c r="I35" s="423" t="n"/>
      <c r="J35" s="423" t="n"/>
      <c r="K35" s="423" t="n"/>
      <c r="L35" s="423" t="n"/>
      <c r="M35" s="149" t="n"/>
      <c r="N35" s="164" t="n"/>
      <c r="O35" s="178" t="n"/>
      <c r="P35" s="164" t="n"/>
      <c r="Q35" s="177" t="n"/>
      <c r="R35" s="155" t="n"/>
      <c r="S35" s="151" t="n"/>
      <c r="T35" s="141" t="n"/>
      <c r="U35" s="141" t="n"/>
      <c r="V35" s="141" t="n"/>
      <c r="W35" s="152" t="n"/>
    </row>
    <row r="36" ht="18" customHeight="1">
      <c r="A36" s="142" t="n"/>
      <c r="B36" s="158" t="n"/>
      <c r="C36" s="158" t="n"/>
      <c r="D36" s="158" t="n"/>
      <c r="E36" s="158" t="n"/>
      <c r="F36" s="158" t="n"/>
      <c r="G36" s="158" t="n"/>
      <c r="H36" s="158" t="n"/>
      <c r="I36" s="158" t="n"/>
      <c r="J36" s="158" t="n"/>
      <c r="K36" s="158" t="n"/>
      <c r="L36" s="158" t="n"/>
      <c r="N36" s="174" t="n"/>
      <c r="O36" s="175" t="n"/>
      <c r="P36" s="175" t="n"/>
      <c r="Q36" s="175" t="n"/>
      <c r="R36" s="155" t="n"/>
      <c r="S36" s="151" t="n"/>
      <c r="T36" s="141" t="n"/>
      <c r="U36" s="141" t="n"/>
      <c r="V36" s="141" t="n"/>
      <c r="W36" s="152" t="n"/>
      <c r="X36" s="141" t="n"/>
      <c r="Y36" s="141" t="n"/>
      <c r="Z36" s="141" t="n"/>
      <c r="AA36" s="141" t="n"/>
    </row>
    <row r="37" ht="18" customHeight="1">
      <c r="A37" s="142" t="n"/>
      <c r="B37" s="275" t="inlineStr">
        <is>
          <t>CONTAMINACIÓN DEL LUBRICANTE - PPM (mg/kg)</t>
        </is>
      </c>
      <c r="C37" s="446" t="n"/>
      <c r="D37" s="446" t="n"/>
      <c r="E37" s="446" t="n"/>
      <c r="F37" s="446" t="n"/>
      <c r="G37" s="446" t="n"/>
      <c r="H37" s="446" t="n"/>
      <c r="I37" s="446" t="n"/>
      <c r="J37" s="446" t="n"/>
      <c r="K37" s="446" t="n"/>
      <c r="L37" s="447" t="n"/>
      <c r="N37" s="276" t="inlineStr">
        <is>
          <t>* Rangos Generales</t>
        </is>
      </c>
      <c r="O37" s="436" t="n"/>
      <c r="P37" s="436" t="n"/>
      <c r="Q37" s="437" t="n"/>
      <c r="R37" s="155" t="n"/>
      <c r="S37" s="151" t="n"/>
      <c r="T37" s="141" t="n"/>
      <c r="U37" s="141" t="n"/>
      <c r="V37" s="141" t="n"/>
      <c r="W37" s="152" t="n"/>
      <c r="X37" s="141" t="n"/>
      <c r="Y37" s="141" t="n"/>
      <c r="Z37" s="141" t="n"/>
      <c r="AA37" s="141" t="n"/>
    </row>
    <row r="38" ht="18" customHeight="1">
      <c r="A38" s="142" t="n"/>
      <c r="B38" s="448" t="n"/>
      <c r="C38" s="449" t="n"/>
      <c r="D38" s="449" t="n"/>
      <c r="E38" s="449" t="n"/>
      <c r="F38" s="449" t="n"/>
      <c r="G38" s="449" t="n"/>
      <c r="H38" s="449" t="n"/>
      <c r="I38" s="449" t="n"/>
      <c r="J38" s="449" t="n"/>
      <c r="K38" s="449" t="n"/>
      <c r="L38" s="450" t="n"/>
      <c r="M38" s="149" t="n"/>
      <c r="N38" s="276" t="inlineStr">
        <is>
          <t>Precaución</t>
        </is>
      </c>
      <c r="O38" s="437" t="n"/>
      <c r="P38" s="276" t="inlineStr">
        <is>
          <t>Anormal</t>
        </is>
      </c>
      <c r="Q38" s="437" t="n"/>
      <c r="R38" s="179" t="n"/>
      <c r="S38" s="151" t="n"/>
      <c r="T38" s="141" t="n"/>
      <c r="U38" s="141" t="n"/>
      <c r="V38" s="141" t="n"/>
      <c r="W38" s="152" t="n"/>
      <c r="X38" s="141" t="n"/>
      <c r="Y38" s="141" t="n"/>
      <c r="Z38" s="141" t="n"/>
      <c r="AA38" s="141" t="n"/>
    </row>
    <row r="39" ht="18" customHeight="1">
      <c r="A39" s="142" t="n"/>
      <c r="B39" s="153" t="inlineStr">
        <is>
          <t>Si (Silicio)</t>
        </is>
      </c>
      <c r="C39" s="154" t="n">
        <v>0</v>
      </c>
      <c r="D39" s="154" t="n"/>
      <c r="E39" s="154" t="n"/>
      <c r="F39" s="154" t="n"/>
      <c r="G39" s="154" t="n"/>
      <c r="H39" s="154" t="n"/>
      <c r="I39" s="154" t="n"/>
      <c r="J39" s="154" t="n"/>
      <c r="K39" s="154" t="n"/>
      <c r="L39" s="154" t="n"/>
      <c r="M39" s="149" t="n"/>
      <c r="N39" s="164" t="n"/>
      <c r="O39" s="177" t="n"/>
      <c r="P39" s="164" t="n"/>
      <c r="Q39" s="177" t="n"/>
      <c r="R39" s="155" t="n"/>
      <c r="S39" s="151" t="n"/>
      <c r="T39" s="141" t="n"/>
      <c r="U39" s="141" t="n"/>
      <c r="V39" s="141" t="n"/>
      <c r="W39" s="152" t="n"/>
      <c r="X39" s="141" t="n"/>
      <c r="Y39" s="141" t="n"/>
      <c r="Z39" s="141" t="n"/>
      <c r="AA39" s="141" t="n"/>
    </row>
    <row r="40" ht="18" customHeight="1">
      <c r="A40" s="142" t="n"/>
      <c r="B40" s="153" t="inlineStr">
        <is>
          <t>Na (Sodio)</t>
        </is>
      </c>
      <c r="C40" s="154" t="n">
        <v>0</v>
      </c>
      <c r="D40" s="154" t="n"/>
      <c r="E40" s="154" t="n"/>
      <c r="F40" s="154" t="n"/>
      <c r="G40" s="154" t="n"/>
      <c r="H40" s="154" t="n"/>
      <c r="I40" s="154" t="n"/>
      <c r="J40" s="154" t="n"/>
      <c r="K40" s="154" t="n"/>
      <c r="L40" s="154" t="n"/>
      <c r="M40" s="149" t="n"/>
      <c r="N40" s="164" t="n"/>
      <c r="O40" s="177" t="n"/>
      <c r="P40" s="164" t="n"/>
      <c r="Q40" s="177" t="n"/>
      <c r="R40" s="155" t="n"/>
      <c r="S40" s="151" t="n"/>
      <c r="T40" s="141" t="n"/>
      <c r="U40" s="141" t="n"/>
      <c r="V40" s="141" t="n"/>
      <c r="W40" s="152" t="n"/>
      <c r="X40" s="141" t="n"/>
      <c r="Y40" s="141" t="n"/>
      <c r="Z40" s="141" t="n"/>
      <c r="AA40" s="141" t="n"/>
    </row>
    <row r="41" ht="18" customHeight="1">
      <c r="A41" s="142" t="n"/>
      <c r="B41" s="153" t="inlineStr">
        <is>
          <t>Vanadio (V)</t>
        </is>
      </c>
      <c r="C41" s="154" t="n">
        <v>0</v>
      </c>
      <c r="D41" s="154" t="n"/>
      <c r="E41" s="154" t="n"/>
      <c r="F41" s="154" t="n"/>
      <c r="G41" s="154" t="n"/>
      <c r="H41" s="154" t="n"/>
      <c r="I41" s="154" t="n"/>
      <c r="J41" s="154" t="n"/>
      <c r="K41" s="154" t="n"/>
      <c r="L41" s="154" t="n"/>
      <c r="M41" s="149" t="n"/>
      <c r="N41" s="164" t="n"/>
      <c r="O41" s="177" t="n"/>
      <c r="P41" s="164" t="n"/>
      <c r="Q41" s="177" t="n"/>
      <c r="R41" s="155" t="n"/>
      <c r="S41" s="151" t="n"/>
      <c r="T41" s="141" t="n"/>
      <c r="U41" s="141" t="n"/>
      <c r="V41" s="141" t="n"/>
      <c r="W41" s="152" t="n"/>
      <c r="X41" s="141" t="n"/>
      <c r="Y41" s="141" t="n"/>
      <c r="Z41" s="141" t="n"/>
      <c r="AA41" s="141" t="n"/>
    </row>
    <row r="42" ht="18" customFormat="1" customHeight="1" s="173">
      <c r="A42" s="171" t="n"/>
      <c r="B42" s="153" t="inlineStr">
        <is>
          <t>Ni (Niquel)</t>
        </is>
      </c>
      <c r="C42" s="154" t="n">
        <v>0</v>
      </c>
      <c r="D42" s="154" t="n"/>
      <c r="E42" s="154" t="n"/>
      <c r="F42" s="154" t="n"/>
      <c r="G42" s="154" t="n"/>
      <c r="H42" s="154" t="n"/>
      <c r="I42" s="154" t="n"/>
      <c r="J42" s="154" t="n"/>
      <c r="K42" s="154" t="n"/>
      <c r="L42" s="154" t="n"/>
      <c r="M42" s="140" t="n"/>
      <c r="N42" s="164" t="n"/>
      <c r="O42" s="178" t="n"/>
      <c r="P42" s="164" t="n"/>
      <c r="Q42" s="178" t="n"/>
      <c r="R42" s="172" t="n"/>
      <c r="S42" s="151" t="n"/>
      <c r="T42" s="141" t="n"/>
      <c r="U42" s="141" t="n"/>
      <c r="V42" s="141" t="n"/>
      <c r="W42" s="152" t="n"/>
      <c r="X42" s="141" t="n"/>
      <c r="Y42" s="141" t="n"/>
      <c r="Z42" s="141" t="n"/>
      <c r="AA42" s="141" t="n"/>
    </row>
    <row r="43" ht="18" customFormat="1" customHeight="1" s="173">
      <c r="A43" s="171" t="n"/>
      <c r="B43" s="158" t="n"/>
      <c r="C43" s="158" t="n"/>
      <c r="D43" s="158" t="n"/>
      <c r="E43" s="158" t="n"/>
      <c r="F43" s="158" t="n"/>
      <c r="G43" s="158" t="n"/>
      <c r="H43" s="158" t="n"/>
      <c r="I43" s="158" t="n"/>
      <c r="J43" s="158" t="n"/>
      <c r="K43" s="158" t="n"/>
      <c r="L43" s="158" t="n"/>
      <c r="M43" s="141" t="n"/>
      <c r="N43" s="180" t="n"/>
      <c r="O43" s="180" t="n"/>
      <c r="P43" s="180" t="n"/>
      <c r="Q43" s="180" t="n"/>
      <c r="R43" s="172" t="n"/>
      <c r="S43" s="151" t="n"/>
      <c r="T43" s="141" t="n"/>
      <c r="U43" s="141" t="n"/>
      <c r="V43" s="141" t="n"/>
      <c r="W43" s="152" t="n"/>
      <c r="X43" s="141" t="n"/>
      <c r="Y43" s="141" t="n"/>
      <c r="Z43" s="141" t="n"/>
      <c r="AA43" s="141" t="n"/>
    </row>
    <row r="44" ht="18" customHeight="1">
      <c r="A44" s="142" t="n"/>
      <c r="B44" s="275" t="inlineStr">
        <is>
          <t>DESGATE DEL EQUIPO  - PPM (mg/kg)</t>
        </is>
      </c>
      <c r="C44" s="446" t="n"/>
      <c r="D44" s="446" t="n"/>
      <c r="E44" s="446" t="n"/>
      <c r="F44" s="446" t="n"/>
      <c r="G44" s="446" t="n"/>
      <c r="H44" s="446" t="n"/>
      <c r="I44" s="446" t="n"/>
      <c r="J44" s="446" t="n"/>
      <c r="K44" s="446" t="n"/>
      <c r="L44" s="447" t="n"/>
      <c r="N44" s="276" t="inlineStr">
        <is>
          <t>* Rangos Generales</t>
        </is>
      </c>
      <c r="O44" s="436" t="n"/>
      <c r="P44" s="436" t="n"/>
      <c r="Q44" s="437" t="n"/>
      <c r="R44" s="155" t="n"/>
      <c r="S44" s="151" t="n"/>
      <c r="T44" s="141" t="n"/>
      <c r="U44" s="141" t="n"/>
      <c r="V44" s="141" t="n"/>
      <c r="W44" s="152" t="n"/>
      <c r="X44" s="141" t="n"/>
      <c r="Y44" s="141" t="n"/>
      <c r="Z44" s="141" t="n"/>
      <c r="AA44" s="141" t="n"/>
    </row>
    <row r="45" ht="18" customHeight="1">
      <c r="A45" s="142" t="n"/>
      <c r="B45" s="448" t="n"/>
      <c r="C45" s="449" t="n"/>
      <c r="D45" s="449" t="n"/>
      <c r="E45" s="449" t="n"/>
      <c r="F45" s="449" t="n"/>
      <c r="G45" s="449" t="n"/>
      <c r="H45" s="449" t="n"/>
      <c r="I45" s="449" t="n"/>
      <c r="J45" s="449" t="n"/>
      <c r="K45" s="449" t="n"/>
      <c r="L45" s="450" t="n"/>
      <c r="M45" s="149" t="n"/>
      <c r="N45" s="276" t="inlineStr">
        <is>
          <t>Precaución</t>
        </is>
      </c>
      <c r="O45" s="437" t="n"/>
      <c r="P45" s="276" t="inlineStr">
        <is>
          <t>Anormal</t>
        </is>
      </c>
      <c r="Q45" s="437" t="n"/>
      <c r="R45" s="181" t="n"/>
      <c r="S45" s="151" t="n"/>
      <c r="T45" s="141" t="n"/>
      <c r="U45" s="141" t="n"/>
      <c r="V45" s="141" t="n"/>
      <c r="W45" s="152" t="n"/>
      <c r="X45" s="141" t="n"/>
      <c r="Y45" s="141" t="n"/>
      <c r="Z45" s="141" t="n"/>
      <c r="AA45" s="141" t="n"/>
    </row>
    <row r="46" ht="18" customHeight="1">
      <c r="A46" s="142" t="n"/>
      <c r="B46" s="153" t="inlineStr">
        <is>
          <t>Fe (Hierro)</t>
        </is>
      </c>
      <c r="C46" s="154" t="n">
        <v>0</v>
      </c>
      <c r="D46" s="154" t="n"/>
      <c r="E46" s="154" t="n"/>
      <c r="F46" s="154" t="n"/>
      <c r="G46" s="154" t="n"/>
      <c r="H46" s="154" t="n"/>
      <c r="I46" s="154" t="n"/>
      <c r="J46" s="154" t="n"/>
      <c r="K46" s="154" t="n"/>
      <c r="L46" s="154" t="n"/>
      <c r="M46" s="149" t="n"/>
      <c r="N46" s="164" t="n"/>
      <c r="O46" s="177" t="n"/>
      <c r="P46" s="164" t="n"/>
      <c r="Q46" s="177" t="n"/>
      <c r="R46" s="155" t="n"/>
      <c r="S46" s="151" t="n"/>
      <c r="T46" s="141" t="n"/>
      <c r="U46" s="141" t="n"/>
      <c r="V46" s="141" t="n"/>
      <c r="W46" s="152" t="n"/>
      <c r="X46" s="141" t="n"/>
      <c r="Y46" s="141" t="n"/>
      <c r="Z46" s="141" t="n"/>
      <c r="AA46" s="141" t="n"/>
    </row>
    <row r="47" ht="18" customHeight="1">
      <c r="A47" s="142" t="n"/>
      <c r="B47" s="153" t="inlineStr">
        <is>
          <t>Cr (Cromo)</t>
        </is>
      </c>
      <c r="C47" s="154" t="n">
        <v>0</v>
      </c>
      <c r="D47" s="154" t="n"/>
      <c r="E47" s="154" t="n"/>
      <c r="F47" s="154" t="n"/>
      <c r="G47" s="154" t="n"/>
      <c r="H47" s="154" t="n"/>
      <c r="I47" s="154" t="n"/>
      <c r="J47" s="154" t="n"/>
      <c r="K47" s="154" t="n"/>
      <c r="L47" s="154" t="n"/>
      <c r="M47" s="149" t="n"/>
      <c r="N47" s="164" t="n"/>
      <c r="O47" s="177" t="n"/>
      <c r="P47" s="164" t="n"/>
      <c r="Q47" s="177" t="n"/>
      <c r="R47" s="155" t="n"/>
      <c r="S47" s="151" t="n"/>
      <c r="T47" s="141" t="n"/>
      <c r="U47" s="141" t="n"/>
      <c r="V47" s="141" t="n"/>
      <c r="W47" s="152" t="n"/>
      <c r="X47" s="141" t="n"/>
      <c r="Y47" s="141" t="n"/>
      <c r="Z47" s="141" t="n"/>
      <c r="AA47" s="141" t="n"/>
    </row>
    <row r="48" ht="18" customHeight="1">
      <c r="A48" s="142" t="n"/>
      <c r="B48" s="153" t="inlineStr">
        <is>
          <t>Al (Aluminio)</t>
        </is>
      </c>
      <c r="C48" s="154" t="n">
        <v>0</v>
      </c>
      <c r="D48" s="154" t="n"/>
      <c r="E48" s="154" t="n"/>
      <c r="F48" s="154" t="n"/>
      <c r="G48" s="154" t="n"/>
      <c r="H48" s="154" t="n"/>
      <c r="I48" s="154" t="n"/>
      <c r="J48" s="154" t="n"/>
      <c r="K48" s="154" t="n"/>
      <c r="L48" s="154" t="n"/>
      <c r="M48" s="149" t="n"/>
      <c r="N48" s="164" t="n"/>
      <c r="O48" s="177" t="n"/>
      <c r="P48" s="164" t="n"/>
      <c r="Q48" s="177" t="n"/>
      <c r="R48" s="155" t="n"/>
      <c r="S48" s="151" t="n"/>
      <c r="T48" s="141" t="n"/>
      <c r="U48" s="141" t="n"/>
      <c r="V48" s="141" t="n"/>
      <c r="W48" s="152" t="n"/>
      <c r="X48" s="141" t="n"/>
      <c r="Y48" s="141" t="n"/>
      <c r="Z48" s="141" t="n"/>
      <c r="AA48" s="141" t="n"/>
    </row>
    <row r="49" ht="18" customHeight="1">
      <c r="A49" s="142" t="n"/>
      <c r="B49" s="153" t="inlineStr">
        <is>
          <t>Cu (Cobre)</t>
        </is>
      </c>
      <c r="C49" s="154" t="n">
        <v>0</v>
      </c>
      <c r="D49" s="154" t="n"/>
      <c r="E49" s="154" t="n"/>
      <c r="F49" s="154" t="n"/>
      <c r="G49" s="154" t="n"/>
      <c r="H49" s="154" t="n"/>
      <c r="I49" s="154" t="n"/>
      <c r="J49" s="154" t="n"/>
      <c r="K49" s="154" t="n"/>
      <c r="L49" s="154" t="n"/>
      <c r="M49" s="167" t="n"/>
      <c r="N49" s="164" t="n"/>
      <c r="O49" s="177" t="n"/>
      <c r="P49" s="164" t="n"/>
      <c r="Q49" s="177" t="n"/>
      <c r="R49" s="155" t="n"/>
      <c r="S49" s="151" t="n"/>
      <c r="T49" s="141" t="n"/>
      <c r="U49" s="141" t="n"/>
      <c r="V49" s="141" t="n"/>
      <c r="W49" s="152" t="n"/>
      <c r="X49" s="141" t="n"/>
      <c r="Y49" s="141" t="n"/>
      <c r="Z49" s="141" t="n"/>
      <c r="AA49" s="141" t="n"/>
    </row>
    <row r="50" ht="18" customHeight="1">
      <c r="A50" s="142" t="n"/>
      <c r="B50" s="153" t="inlineStr">
        <is>
          <t>Pb (Plomo)</t>
        </is>
      </c>
      <c r="C50" s="154" t="n">
        <v>0</v>
      </c>
      <c r="D50" s="154" t="n"/>
      <c r="E50" s="154" t="n"/>
      <c r="F50" s="154" t="n"/>
      <c r="G50" s="154" t="n"/>
      <c r="H50" s="154" t="n"/>
      <c r="I50" s="154" t="n"/>
      <c r="J50" s="154" t="n"/>
      <c r="K50" s="154" t="n"/>
      <c r="L50" s="154" t="n"/>
      <c r="M50" s="149" t="n"/>
      <c r="N50" s="164" t="n"/>
      <c r="O50" s="177" t="n"/>
      <c r="P50" s="164" t="n"/>
      <c r="Q50" s="177" t="n"/>
      <c r="R50" s="155" t="n"/>
      <c r="S50" s="151" t="n"/>
      <c r="T50" s="141" t="n"/>
      <c r="U50" s="141" t="n"/>
      <c r="V50" s="141" t="n"/>
      <c r="W50" s="152" t="n"/>
      <c r="X50" s="141" t="n"/>
      <c r="Y50" s="141" t="n"/>
      <c r="Z50" s="141" t="n"/>
      <c r="AA50" s="141" t="n"/>
    </row>
    <row r="51" ht="18" customFormat="1" customHeight="1" s="173">
      <c r="A51" s="171" t="n"/>
      <c r="B51" s="153" t="inlineStr">
        <is>
          <t>Estaño (Sn)</t>
        </is>
      </c>
      <c r="C51" s="154" t="n">
        <v>0</v>
      </c>
      <c r="D51" s="154" t="n"/>
      <c r="E51" s="154" t="n"/>
      <c r="F51" s="154" t="n"/>
      <c r="G51" s="154" t="n"/>
      <c r="H51" s="154" t="n"/>
      <c r="I51" s="154" t="n"/>
      <c r="J51" s="154" t="n"/>
      <c r="K51" s="154" t="n"/>
      <c r="L51" s="154" t="n"/>
      <c r="M51" s="149" t="n"/>
      <c r="N51" s="164" t="n"/>
      <c r="O51" s="177" t="n"/>
      <c r="P51" s="164" t="n"/>
      <c r="Q51" s="177" t="n"/>
      <c r="R51" s="172" t="n"/>
      <c r="S51" s="151" t="n"/>
      <c r="T51" s="141" t="n"/>
      <c r="U51" s="141" t="n"/>
      <c r="V51" s="141" t="n"/>
      <c r="W51" s="152" t="n"/>
      <c r="X51" s="141" t="n"/>
      <c r="Y51" s="141" t="n"/>
      <c r="Z51" s="141" t="n"/>
    </row>
    <row r="52" ht="18" customHeight="1">
      <c r="A52" s="142" t="n"/>
      <c r="B52" s="158" t="n"/>
      <c r="C52" s="158" t="n"/>
      <c r="D52" s="158" t="n"/>
      <c r="E52" s="158" t="n"/>
      <c r="F52" s="158" t="n"/>
      <c r="G52" s="158" t="n"/>
      <c r="H52" s="158" t="n"/>
      <c r="I52" s="158" t="n"/>
      <c r="J52" s="158" t="n"/>
      <c r="K52" s="158" t="n"/>
      <c r="L52" s="158" t="n"/>
      <c r="N52" s="174" t="n"/>
      <c r="O52" s="182" t="n"/>
      <c r="P52" s="183" t="n"/>
      <c r="Q52" s="183" t="n"/>
      <c r="R52" s="155" t="n"/>
      <c r="S52" s="151" t="n"/>
      <c r="T52" s="141" t="n"/>
      <c r="U52" s="141" t="n"/>
      <c r="V52" s="141" t="n"/>
      <c r="W52" s="152" t="n"/>
      <c r="X52" s="141" t="n"/>
      <c r="Y52" s="141" t="n"/>
      <c r="Z52" s="141" t="n"/>
      <c r="AA52" s="141" t="n"/>
    </row>
    <row r="53" ht="18" customFormat="1" customHeight="1" s="173">
      <c r="A53" s="171" t="n"/>
      <c r="B53" s="275" t="inlineStr">
        <is>
          <t>OTROS ELEMENTOS - PPM (mg/kg)</t>
        </is>
      </c>
      <c r="C53" s="446" t="n"/>
      <c r="D53" s="446" t="n"/>
      <c r="E53" s="446" t="n"/>
      <c r="F53" s="446" t="n"/>
      <c r="G53" s="446" t="n"/>
      <c r="H53" s="446" t="n"/>
      <c r="I53" s="446" t="n"/>
      <c r="J53" s="446" t="n"/>
      <c r="K53" s="446" t="n"/>
      <c r="L53" s="447" t="n"/>
      <c r="M53" s="140" t="n"/>
      <c r="N53" s="276" t="inlineStr">
        <is>
          <t>* Rangos Generales</t>
        </is>
      </c>
      <c r="O53" s="436" t="n"/>
      <c r="P53" s="436" t="n"/>
      <c r="Q53" s="437" t="n"/>
      <c r="R53" s="172" t="n"/>
      <c r="S53" s="151" t="n"/>
      <c r="T53" s="141" t="n"/>
      <c r="U53" s="141" t="n"/>
      <c r="V53" s="141" t="n"/>
      <c r="W53" s="152" t="n"/>
      <c r="X53" s="141" t="n"/>
      <c r="Y53" s="141" t="n"/>
      <c r="Z53" s="141" t="n"/>
      <c r="AA53" s="141" t="n"/>
    </row>
    <row r="54" ht="18" customFormat="1" customHeight="1" s="173">
      <c r="A54" s="171" t="n"/>
      <c r="B54" s="448" t="n"/>
      <c r="C54" s="449" t="n"/>
      <c r="D54" s="449" t="n"/>
      <c r="E54" s="449" t="n"/>
      <c r="F54" s="449" t="n"/>
      <c r="G54" s="449" t="n"/>
      <c r="H54" s="449" t="n"/>
      <c r="I54" s="449" t="n"/>
      <c r="J54" s="449" t="n"/>
      <c r="K54" s="449" t="n"/>
      <c r="L54" s="450" t="n"/>
      <c r="M54" s="149" t="n"/>
      <c r="N54" s="276" t="inlineStr">
        <is>
          <t>Precaución</t>
        </is>
      </c>
      <c r="O54" s="437" t="n"/>
      <c r="P54" s="276" t="inlineStr">
        <is>
          <t>Anormal</t>
        </is>
      </c>
      <c r="Q54" s="437" t="n"/>
      <c r="R54" s="172" t="n"/>
      <c r="S54" s="151" t="n"/>
      <c r="T54" s="141" t="n"/>
      <c r="U54" s="141" t="n"/>
      <c r="V54" s="141" t="n"/>
      <c r="W54" s="152" t="n"/>
      <c r="X54" s="141" t="n"/>
      <c r="Y54" s="141" t="n"/>
      <c r="Z54" s="141" t="n"/>
    </row>
    <row r="55" ht="18" customFormat="1" customHeight="1" s="173">
      <c r="A55" s="171" t="n"/>
      <c r="B55" s="153" t="inlineStr">
        <is>
          <t>Mo (Molibdeno)</t>
        </is>
      </c>
      <c r="C55" s="154" t="n">
        <v>0</v>
      </c>
      <c r="D55" s="154" t="n"/>
      <c r="E55" s="154" t="n"/>
      <c r="F55" s="154" t="n"/>
      <c r="G55" s="154" t="n"/>
      <c r="H55" s="154" t="n"/>
      <c r="I55" s="154" t="n"/>
      <c r="J55" s="154" t="n"/>
      <c r="K55" s="154" t="n"/>
      <c r="L55" s="154" t="n"/>
      <c r="M55" s="149" t="n"/>
      <c r="N55" s="164" t="n"/>
      <c r="O55" s="178" t="n"/>
      <c r="P55" s="164" t="n"/>
      <c r="Q55" s="178" t="n"/>
      <c r="R55" s="172" t="n"/>
      <c r="S55" s="151" t="n"/>
      <c r="T55" s="141" t="n"/>
      <c r="U55" s="141" t="n"/>
      <c r="V55" s="141" t="n"/>
      <c r="W55" s="152" t="n"/>
      <c r="X55" s="141" t="n"/>
      <c r="Y55" s="141" t="n"/>
      <c r="Z55" s="141" t="n"/>
    </row>
    <row r="56" ht="18" customFormat="1" customHeight="1" s="173">
      <c r="A56" s="171" t="n"/>
      <c r="B56" s="153" t="inlineStr">
        <is>
          <t>B (Boro)</t>
        </is>
      </c>
      <c r="C56" s="154" t="n">
        <v>0</v>
      </c>
      <c r="D56" s="154" t="n"/>
      <c r="E56" s="154" t="n"/>
      <c r="F56" s="154" t="n"/>
      <c r="G56" s="154" t="n"/>
      <c r="H56" s="154" t="n"/>
      <c r="I56" s="154" t="n"/>
      <c r="J56" s="154" t="n"/>
      <c r="K56" s="154" t="n"/>
      <c r="L56" s="154" t="n"/>
      <c r="M56" s="149" t="n"/>
      <c r="N56" s="164" t="n"/>
      <c r="O56" s="178" t="n"/>
      <c r="P56" s="164" t="n"/>
      <c r="Q56" s="178" t="n"/>
      <c r="R56" s="172" t="n"/>
      <c r="S56" s="151" t="n"/>
      <c r="T56" s="141" t="n"/>
      <c r="U56" s="141" t="n"/>
      <c r="V56" s="141" t="n"/>
      <c r="W56" s="152" t="n"/>
      <c r="X56" s="141" t="n"/>
      <c r="Y56" s="141" t="n"/>
      <c r="Z56" s="141" t="n"/>
    </row>
    <row r="57" ht="18" customFormat="1" customHeight="1" s="173">
      <c r="A57" s="171" t="n"/>
      <c r="B57" s="153" t="inlineStr">
        <is>
          <t>Ba (Bario)</t>
        </is>
      </c>
      <c r="C57" s="154" t="n">
        <v>0</v>
      </c>
      <c r="D57" s="154" t="n"/>
      <c r="E57" s="154" t="n"/>
      <c r="F57" s="154" t="n"/>
      <c r="G57" s="154" t="n"/>
      <c r="H57" s="154" t="n"/>
      <c r="I57" s="154" t="n"/>
      <c r="J57" s="154" t="n"/>
      <c r="K57" s="154" t="n"/>
      <c r="L57" s="154" t="n"/>
      <c r="M57" s="149" t="n"/>
      <c r="N57" s="164" t="n"/>
      <c r="O57" s="178" t="n"/>
      <c r="P57" s="164" t="n"/>
      <c r="Q57" s="178" t="n"/>
      <c r="R57" s="172" t="n"/>
      <c r="S57" s="151" t="n"/>
      <c r="T57" s="141" t="n"/>
      <c r="U57" s="141" t="n"/>
      <c r="V57" s="141" t="n"/>
      <c r="W57" s="152" t="n"/>
      <c r="X57" s="141" t="n"/>
      <c r="Y57" s="141" t="n"/>
      <c r="Z57" s="141" t="n"/>
    </row>
    <row r="58" ht="18" customFormat="1" customHeight="1" s="173">
      <c r="A58" s="171" t="n"/>
      <c r="B58" s="153" t="inlineStr">
        <is>
          <t>Ti (Titaniao)</t>
        </is>
      </c>
      <c r="C58" s="154" t="n">
        <v>0</v>
      </c>
      <c r="D58" s="154" t="n"/>
      <c r="E58" s="154" t="n"/>
      <c r="F58" s="154" t="n"/>
      <c r="G58" s="154" t="n"/>
      <c r="H58" s="154" t="n"/>
      <c r="I58" s="154" t="n"/>
      <c r="J58" s="154" t="n"/>
      <c r="K58" s="154" t="n"/>
      <c r="L58" s="154" t="n"/>
      <c r="M58" s="140" t="n"/>
      <c r="N58" s="164" t="n"/>
      <c r="O58" s="178" t="n"/>
      <c r="P58" s="164" t="n"/>
      <c r="Q58" s="178" t="n"/>
      <c r="R58" s="172" t="n"/>
      <c r="S58" s="151" t="n"/>
      <c r="T58" s="141" t="n"/>
      <c r="U58" s="141" t="n"/>
      <c r="V58" s="141" t="n"/>
      <c r="W58" s="152" t="n"/>
      <c r="X58" s="141" t="n"/>
      <c r="Y58" s="141" t="n"/>
      <c r="Z58" s="141" t="n"/>
      <c r="AA58" s="141" t="n"/>
    </row>
    <row r="59" ht="18" customFormat="1" customHeight="1" s="173">
      <c r="A59" s="171" t="n"/>
      <c r="B59" s="153" t="inlineStr">
        <is>
          <t>Ag (Plata)</t>
        </is>
      </c>
      <c r="C59" s="154" t="n">
        <v>0</v>
      </c>
      <c r="D59" s="154" t="n"/>
      <c r="E59" s="154" t="n"/>
      <c r="F59" s="154" t="n"/>
      <c r="G59" s="154" t="n"/>
      <c r="H59" s="154" t="n"/>
      <c r="I59" s="154" t="n"/>
      <c r="J59" s="154" t="n"/>
      <c r="K59" s="154" t="n"/>
      <c r="L59" s="154" t="n"/>
      <c r="M59" s="149" t="n"/>
      <c r="N59" s="164" t="n"/>
      <c r="O59" s="178" t="n"/>
      <c r="P59" s="164" t="n"/>
      <c r="Q59" s="178" t="n"/>
      <c r="R59" s="172" t="n"/>
      <c r="S59" s="151" t="n"/>
      <c r="T59" s="141" t="n"/>
      <c r="U59" s="141" t="n"/>
      <c r="V59" s="141" t="n"/>
      <c r="W59" s="152" t="n"/>
      <c r="X59" s="141" t="n"/>
      <c r="Y59" s="141" t="n"/>
      <c r="Z59" s="141" t="n"/>
      <c r="AA59" s="141" t="n"/>
    </row>
    <row r="60" ht="18" customFormat="1" customHeight="1" s="173">
      <c r="A60" s="171" t="n"/>
      <c r="B60" s="158" t="n"/>
      <c r="C60" s="158" t="n"/>
      <c r="D60" s="158" t="n"/>
      <c r="E60" s="158" t="n"/>
      <c r="F60" s="158" t="n"/>
      <c r="G60" s="158" t="n"/>
      <c r="H60" s="158" t="n"/>
      <c r="I60" s="158" t="n"/>
      <c r="J60" s="158" t="n"/>
      <c r="K60" s="158" t="n"/>
      <c r="L60" s="158" t="n"/>
      <c r="M60" s="141" t="n"/>
      <c r="N60" s="141" t="n"/>
      <c r="O60" s="141" t="n"/>
      <c r="P60" s="141" t="n"/>
      <c r="Q60" s="141" t="n"/>
      <c r="R60" s="172" t="n"/>
      <c r="S60" s="151" t="n"/>
      <c r="T60" s="141" t="n"/>
      <c r="U60" s="141" t="n"/>
      <c r="V60" s="141" t="n"/>
      <c r="W60" s="152" t="n"/>
      <c r="X60" s="141" t="n"/>
      <c r="Y60" s="141" t="n"/>
      <c r="Z60" s="141" t="n"/>
      <c r="AA60" s="141" t="n"/>
    </row>
    <row r="61" ht="18" customFormat="1" customHeight="1" s="173">
      <c r="A61" s="171" t="n"/>
      <c r="B61" s="275" t="inlineStr">
        <is>
          <t>PRESENCIA DE ADITIVOS - PPM (mg/kg)</t>
        </is>
      </c>
      <c r="C61" s="446" t="n"/>
      <c r="D61" s="446" t="n"/>
      <c r="E61" s="446" t="n"/>
      <c r="F61" s="446" t="n"/>
      <c r="G61" s="446" t="n"/>
      <c r="H61" s="446" t="n"/>
      <c r="I61" s="446" t="n"/>
      <c r="J61" s="446" t="n"/>
      <c r="K61" s="446" t="n"/>
      <c r="L61" s="447" t="n"/>
      <c r="M61" s="141" t="n"/>
      <c r="N61" s="141" t="n"/>
      <c r="O61" s="141" t="n"/>
      <c r="P61" s="141" t="n"/>
      <c r="Q61" s="141" t="n"/>
      <c r="R61" s="172" t="n"/>
      <c r="S61" s="151" t="n"/>
      <c r="T61" s="141" t="n"/>
      <c r="U61" s="141" t="n"/>
      <c r="V61" s="141" t="n"/>
      <c r="W61" s="152" t="n"/>
      <c r="X61" s="141" t="n"/>
      <c r="Y61" s="141" t="n"/>
      <c r="Z61" s="141" t="n"/>
      <c r="AA61" s="141" t="n"/>
    </row>
    <row r="62" ht="18" customHeight="1">
      <c r="A62" s="142" t="n"/>
      <c r="B62" s="448" t="n"/>
      <c r="C62" s="449" t="n"/>
      <c r="D62" s="449" t="n"/>
      <c r="E62" s="449" t="n"/>
      <c r="F62" s="449" t="n"/>
      <c r="G62" s="449" t="n"/>
      <c r="H62" s="449" t="n"/>
      <c r="I62" s="449" t="n"/>
      <c r="J62" s="449" t="n"/>
      <c r="K62" s="449" t="n"/>
      <c r="L62" s="450" t="n"/>
      <c r="M62" s="141" t="n"/>
      <c r="N62" s="141" t="n"/>
      <c r="O62" s="141" t="n"/>
      <c r="P62" s="141" t="n"/>
      <c r="Q62" s="141" t="n"/>
      <c r="R62" s="155" t="n"/>
      <c r="S62" s="151" t="n"/>
      <c r="T62" s="141" t="n"/>
      <c r="U62" s="141" t="n"/>
      <c r="V62" s="141" t="n"/>
      <c r="W62" s="152" t="n"/>
      <c r="X62" s="141" t="n"/>
      <c r="Y62" s="141" t="n"/>
      <c r="Z62" s="141" t="n"/>
      <c r="AA62" s="141" t="n"/>
    </row>
    <row r="63" ht="18" customHeight="1">
      <c r="A63" s="142" t="n"/>
      <c r="B63" s="153" t="inlineStr">
        <is>
          <t>Ca (Calcio)</t>
        </is>
      </c>
      <c r="C63" s="154" t="n">
        <v>0</v>
      </c>
      <c r="D63" s="154" t="n"/>
      <c r="E63" s="154" t="n"/>
      <c r="F63" s="154" t="n"/>
      <c r="G63" s="154" t="n"/>
      <c r="H63" s="154" t="n"/>
      <c r="I63" s="154" t="n"/>
      <c r="J63" s="154" t="n"/>
      <c r="K63" s="154" t="n"/>
      <c r="L63" s="154" t="n"/>
      <c r="M63" s="141" t="n"/>
      <c r="N63" s="141" t="n"/>
      <c r="O63" s="141" t="n"/>
      <c r="P63" s="141" t="n"/>
      <c r="Q63" s="141" t="n"/>
      <c r="R63" s="155" t="n"/>
      <c r="S63" s="151" t="n"/>
      <c r="T63" s="141" t="n"/>
      <c r="U63" s="141" t="n"/>
      <c r="V63" s="141" t="n"/>
      <c r="W63" s="152" t="n"/>
      <c r="X63" s="141" t="n"/>
      <c r="Y63" s="141" t="n"/>
      <c r="Z63" s="141" t="n"/>
      <c r="AA63" s="141" t="n"/>
    </row>
    <row r="64" ht="18" customHeight="1">
      <c r="A64" s="142" t="n"/>
      <c r="B64" s="153" t="inlineStr">
        <is>
          <t>Mg (Magnesio)</t>
        </is>
      </c>
      <c r="C64" s="154" t="n">
        <v>0</v>
      </c>
      <c r="D64" s="154" t="n"/>
      <c r="E64" s="154" t="n"/>
      <c r="F64" s="154" t="n"/>
      <c r="G64" s="154" t="n"/>
      <c r="H64" s="154" t="n"/>
      <c r="I64" s="154" t="n"/>
      <c r="J64" s="154" t="n"/>
      <c r="K64" s="154" t="n"/>
      <c r="L64" s="154" t="n"/>
      <c r="M64" s="141" t="n"/>
      <c r="N64" s="141" t="n"/>
      <c r="O64" s="141" t="n"/>
      <c r="P64" s="141" t="n"/>
      <c r="Q64" s="141" t="n"/>
      <c r="R64" s="155" t="n"/>
      <c r="S64" s="151" t="n"/>
      <c r="T64" s="141" t="n"/>
      <c r="U64" s="141" t="n"/>
      <c r="V64" s="141" t="n"/>
      <c r="W64" s="152" t="n"/>
      <c r="X64" s="141" t="n"/>
      <c r="Y64" s="141" t="n"/>
      <c r="Z64" s="141" t="n"/>
      <c r="AA64" s="141" t="n"/>
    </row>
    <row r="65" ht="18" customHeight="1">
      <c r="A65" s="142" t="n"/>
      <c r="B65" s="153" t="inlineStr">
        <is>
          <t>Zn (Zinc)</t>
        </is>
      </c>
      <c r="C65" s="154" t="n">
        <v>0</v>
      </c>
      <c r="D65" s="154" t="n"/>
      <c r="E65" s="154" t="n"/>
      <c r="F65" s="154" t="n"/>
      <c r="G65" s="154" t="n"/>
      <c r="H65" s="154" t="n"/>
      <c r="I65" s="154" t="n"/>
      <c r="J65" s="154" t="n"/>
      <c r="K65" s="154" t="n"/>
      <c r="L65" s="154" t="n"/>
      <c r="M65" s="141" t="n"/>
      <c r="N65" s="141" t="n"/>
      <c r="O65" s="141" t="n"/>
      <c r="P65" s="141" t="n"/>
      <c r="Q65" s="141" t="n"/>
      <c r="R65" s="155" t="n"/>
      <c r="S65" s="151" t="n"/>
      <c r="T65" s="141" t="n"/>
      <c r="U65" s="141" t="n"/>
      <c r="V65" s="141" t="n"/>
      <c r="W65" s="152" t="n"/>
      <c r="X65" s="141" t="n"/>
      <c r="Y65" s="141" t="n"/>
      <c r="Z65" s="141" t="n"/>
      <c r="AA65" s="141" t="n"/>
    </row>
    <row r="66" ht="18" customHeight="1">
      <c r="A66" s="142" t="n"/>
      <c r="B66" s="153" t="inlineStr">
        <is>
          <t>P (Fosforo)</t>
        </is>
      </c>
      <c r="C66" s="154" t="n">
        <v>0</v>
      </c>
      <c r="D66" s="154" t="n"/>
      <c r="E66" s="154" t="n"/>
      <c r="F66" s="154" t="n"/>
      <c r="G66" s="154" t="n"/>
      <c r="H66" s="154" t="n"/>
      <c r="I66" s="154" t="n"/>
      <c r="J66" s="154" t="n"/>
      <c r="K66" s="154" t="n"/>
      <c r="L66" s="154" t="n"/>
      <c r="M66" s="141" t="n"/>
      <c r="N66" s="141" t="n"/>
      <c r="O66" s="141" t="n"/>
      <c r="P66" s="141" t="n"/>
      <c r="Q66" s="141" t="n"/>
      <c r="R66" s="155" t="n"/>
      <c r="S66" s="151" t="n"/>
      <c r="T66" s="141" t="n"/>
      <c r="U66" s="141" t="n"/>
      <c r="V66" s="141" t="n"/>
      <c r="W66" s="152" t="n"/>
      <c r="X66" s="141" t="n"/>
      <c r="Y66" s="141" t="n"/>
      <c r="Z66" s="141" t="n"/>
      <c r="AA66" s="141" t="n"/>
    </row>
    <row r="67" ht="18" customHeight="1" thickBot="1">
      <c r="A67" s="184" t="n"/>
      <c r="B67" s="185" t="n"/>
      <c r="C67" s="185" t="n"/>
      <c r="D67" s="185" t="n"/>
      <c r="E67" s="185" t="n"/>
      <c r="F67" s="185" t="n"/>
      <c r="G67" s="185" t="n"/>
      <c r="H67" s="185" t="n"/>
      <c r="I67" s="185" t="n"/>
      <c r="J67" s="185" t="n"/>
      <c r="K67" s="185" t="n"/>
      <c r="L67" s="185" t="n"/>
      <c r="M67" s="186" t="n"/>
      <c r="N67" s="186" t="n"/>
      <c r="O67" s="187" t="n"/>
      <c r="P67" s="187" t="n"/>
      <c r="Q67" s="187" t="n"/>
      <c r="R67" s="188" t="n"/>
      <c r="S67" s="151" t="n"/>
      <c r="T67" s="141" t="n"/>
      <c r="U67" s="141" t="n"/>
      <c r="V67" s="141" t="n"/>
      <c r="W67" s="152" t="n"/>
      <c r="X67" s="141" t="n"/>
      <c r="Y67" s="141" t="n"/>
      <c r="Z67" s="141" t="n"/>
      <c r="AA67" s="141" t="n"/>
    </row>
    <row r="68" ht="15" customHeight="1">
      <c r="A68" s="189" t="n"/>
      <c r="B68" s="190" t="n"/>
      <c r="C68" s="190" t="n"/>
      <c r="D68" s="190" t="n"/>
      <c r="E68" s="190" t="n"/>
      <c r="F68" s="190" t="n"/>
      <c r="G68" s="190" t="n"/>
      <c r="H68" s="190" t="n"/>
      <c r="I68" s="190" t="n"/>
      <c r="J68" s="190" t="n"/>
      <c r="K68" s="190" t="n"/>
      <c r="L68" s="190" t="n"/>
      <c r="M68" s="190" t="n"/>
      <c r="N68" s="190" t="n"/>
      <c r="O68" s="190" t="n"/>
      <c r="P68" s="190" t="n"/>
      <c r="Q68" s="190" t="n"/>
      <c r="R68" s="190" t="n"/>
      <c r="S68" s="190" t="n"/>
      <c r="T68" s="190" t="n"/>
      <c r="U68" s="190" t="n"/>
      <c r="V68" s="190" t="n"/>
      <c r="W68" s="191" t="n"/>
      <c r="X68" s="141" t="n"/>
      <c r="Y68" s="141" t="n"/>
      <c r="Z68" s="141" t="n"/>
      <c r="AA68" s="141" t="n"/>
    </row>
    <row r="69" ht="15" customHeight="1">
      <c r="A69" s="142" t="n"/>
      <c r="B69" s="149" t="inlineStr">
        <is>
          <t>ELABORADO POR:</t>
        </is>
      </c>
      <c r="D69" s="149" t="inlineStr">
        <is>
          <t>REVISADO POR:</t>
        </is>
      </c>
      <c r="E69" s="149" t="n"/>
      <c r="F69" s="149" t="n"/>
      <c r="W69" s="155" t="n"/>
      <c r="X69" s="141" t="n"/>
      <c r="Y69" s="141" t="n"/>
      <c r="Z69" s="141" t="n"/>
      <c r="AA69" s="141" t="n"/>
    </row>
    <row r="70" ht="42" customHeight="1">
      <c r="A70" s="142" t="n"/>
      <c r="G70" s="141" t="n"/>
      <c r="H70" s="141" t="n"/>
      <c r="I70" s="141" t="n"/>
      <c r="J70" s="141" t="n"/>
      <c r="K70" s="141" t="n"/>
      <c r="L70" s="141" t="n"/>
      <c r="W70" s="155" t="n"/>
      <c r="X70" s="141" t="n"/>
      <c r="Y70" s="141" t="n"/>
      <c r="Z70" s="141" t="n"/>
      <c r="AA70" s="141" t="n"/>
    </row>
    <row r="71" ht="41.25" customHeight="1" thickBot="1">
      <c r="A71" s="142" t="n"/>
      <c r="B71" s="192" t="n"/>
      <c r="D71" s="192" t="n"/>
      <c r="E71" s="192" t="n"/>
      <c r="F71" s="192" t="n"/>
      <c r="G71" s="141" t="n"/>
      <c r="H71" s="141" t="n"/>
      <c r="I71" s="141" t="n"/>
      <c r="J71" s="141" t="n"/>
      <c r="K71" s="141" t="n"/>
      <c r="L71" s="141" t="n"/>
      <c r="W71" s="155" t="n"/>
      <c r="X71" s="141" t="n"/>
      <c r="Y71" s="141" t="n"/>
      <c r="Z71" s="141" t="n"/>
      <c r="AA71" s="141" t="n"/>
    </row>
    <row r="72" ht="15" customHeight="1">
      <c r="A72" s="142" t="n"/>
      <c r="B72" s="149" t="inlineStr">
        <is>
          <t>Analista Autorizado</t>
        </is>
      </c>
      <c r="D72" s="149" t="inlineStr">
        <is>
          <t>Jefe de Servicio Post Venta</t>
        </is>
      </c>
      <c r="E72" s="149" t="n"/>
      <c r="F72" s="149" t="n"/>
      <c r="W72" s="155" t="n"/>
      <c r="X72" s="141" t="n"/>
      <c r="Y72" s="141" t="n"/>
      <c r="Z72" s="141" t="n"/>
      <c r="AA72" s="141" t="n"/>
    </row>
    <row r="73" ht="15" customHeight="1">
      <c r="A73" s="142" t="n"/>
      <c r="B73" s="149" t="inlineStr">
        <is>
          <t>Dpto. Laboratorio</t>
        </is>
      </c>
      <c r="D73" s="149" t="inlineStr">
        <is>
          <t>Dpto. Técnico y Laboratorio</t>
        </is>
      </c>
      <c r="E73" s="149" t="n"/>
      <c r="F73" s="149" t="n"/>
      <c r="W73" s="155" t="n"/>
      <c r="X73" s="141" t="n"/>
      <c r="Y73" s="141" t="n"/>
      <c r="Z73" s="141" t="n"/>
      <c r="AA73" s="141" t="n"/>
    </row>
    <row r="74" ht="12.75" customHeight="1" thickBot="1">
      <c r="A74" s="184" t="n"/>
      <c r="B74" s="193" t="inlineStr">
        <is>
          <t>Lubricantes Internacionales S.A.</t>
        </is>
      </c>
      <c r="C74" s="192" t="n"/>
      <c r="D74" s="193" t="inlineStr">
        <is>
          <t>Lubricantes Internacionales S.A.</t>
        </is>
      </c>
      <c r="E74" s="193" t="n"/>
      <c r="F74" s="193" t="n"/>
      <c r="G74" s="192" t="n"/>
      <c r="H74" s="192" t="n"/>
      <c r="I74" s="192" t="n"/>
      <c r="J74" s="192" t="n"/>
      <c r="K74" s="192" t="n"/>
      <c r="L74" s="192" t="n"/>
      <c r="M74" s="192" t="n"/>
      <c r="N74" s="192" t="n"/>
      <c r="O74" s="192" t="n"/>
      <c r="P74" s="192" t="n"/>
      <c r="Q74" s="192" t="n"/>
      <c r="R74" s="192" t="n"/>
      <c r="S74" s="192" t="n"/>
      <c r="T74" s="192" t="n"/>
      <c r="U74" s="192" t="n"/>
      <c r="V74" s="192" t="n"/>
      <c r="W74" s="188" t="n"/>
    </row>
    <row r="75" ht="15.75" customHeight="1" thickBot="1">
      <c r="A75" s="184" t="n"/>
      <c r="B75" s="194" t="inlineStr">
        <is>
          <t>VEN-FOR-006F  VERSION:1 FECHA 2021-SEPT-14</t>
        </is>
      </c>
      <c r="C75" s="192" t="n"/>
      <c r="D75" s="192" t="n"/>
      <c r="E75" s="192" t="n"/>
      <c r="F75" s="192" t="n"/>
      <c r="G75" s="192" t="n"/>
      <c r="H75" s="192" t="n"/>
      <c r="I75" s="192" t="n"/>
      <c r="J75" s="192" t="n"/>
      <c r="K75" s="192" t="n"/>
      <c r="L75" s="192" t="n"/>
      <c r="M75" s="192" t="n"/>
      <c r="N75" s="192" t="n"/>
      <c r="O75" s="192" t="n"/>
      <c r="P75" s="192" t="n"/>
      <c r="Q75" s="192" t="n"/>
      <c r="R75" s="192" t="n"/>
      <c r="S75" s="192" t="n"/>
      <c r="T75" s="192" t="n"/>
      <c r="U75" s="192" t="n"/>
      <c r="V75" s="192" t="n"/>
      <c r="W75" s="192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A6z+8yi8bYg5u95MlD84Q==" formatRows="1" sort="1" spinCount="100000" hashValue="giRsrYfzdbEEBc5ADUsJ+FY8kn31g1KYjzTtJe9NaZyTHv1/X2iJkNmKuY8uLLMkcJklwlgiJciv6QoSDefGdQ=="/>
  <mergeCells count="47">
    <mergeCell ref="P26:Q26"/>
    <mergeCell ref="H3:K3"/>
    <mergeCell ref="P38:Q38"/>
    <mergeCell ref="N54:O54"/>
    <mergeCell ref="C2:G3"/>
    <mergeCell ref="B37:L38"/>
    <mergeCell ref="B10:L11"/>
    <mergeCell ref="N30:Q30"/>
    <mergeCell ref="L6:R6"/>
    <mergeCell ref="P31:Q31"/>
    <mergeCell ref="B44:L45"/>
    <mergeCell ref="B53:L54"/>
    <mergeCell ref="H5:K5"/>
    <mergeCell ref="A1:W1"/>
    <mergeCell ref="N21:O21"/>
    <mergeCell ref="C4:G8"/>
    <mergeCell ref="S2:W2"/>
    <mergeCell ref="P21:Q21"/>
    <mergeCell ref="H8:K8"/>
    <mergeCell ref="L2:R2"/>
    <mergeCell ref="N20:Q20"/>
    <mergeCell ref="B20:L21"/>
    <mergeCell ref="L7:R7"/>
    <mergeCell ref="S5:W8"/>
    <mergeCell ref="N25:Q25"/>
    <mergeCell ref="B30:L31"/>
    <mergeCell ref="H4:K4"/>
    <mergeCell ref="N37:Q37"/>
    <mergeCell ref="N53:Q53"/>
    <mergeCell ref="N38:O38"/>
    <mergeCell ref="L3:R3"/>
    <mergeCell ref="S3:W4"/>
    <mergeCell ref="H6:K6"/>
    <mergeCell ref="P28:Q28"/>
    <mergeCell ref="N31:O31"/>
    <mergeCell ref="B9:O9"/>
    <mergeCell ref="L5:R5"/>
    <mergeCell ref="A2:B8"/>
    <mergeCell ref="B61:L62"/>
    <mergeCell ref="L8:R8"/>
    <mergeCell ref="L4:R4"/>
    <mergeCell ref="H2:K2"/>
    <mergeCell ref="N44:Q44"/>
    <mergeCell ref="H7:K7"/>
    <mergeCell ref="N45:O45"/>
    <mergeCell ref="P45:Q45"/>
    <mergeCell ref="P54:Q54"/>
  </mergeCells>
  <conditionalFormatting sqref="C22">
    <cfRule type="cellIs" priority="35" operator="greaterThan" dxfId="0" stopIfTrue="1">
      <formula>$Q$22</formula>
    </cfRule>
    <cfRule type="cellIs" priority="34" operator="lessThan" dxfId="0" stopIfTrue="1">
      <formula>$O$22</formula>
    </cfRule>
  </conditionalFormatting>
  <conditionalFormatting sqref="C23">
    <cfRule type="cellIs" priority="32" operator="lessThan" dxfId="0" stopIfTrue="1">
      <formula>$O$23</formula>
    </cfRule>
    <cfRule type="cellIs" priority="33" operator="greaterThan" dxfId="0" stopIfTrue="1">
      <formula>$Q$23</formula>
    </cfRule>
  </conditionalFormatting>
  <conditionalFormatting sqref="C18:L18">
    <cfRule type="containsText" priority="25" operator="containsText" dxfId="2" stopIfTrue="1" text="ANORMAL">
      <formula>NOT(ISERROR(SEARCH("ANORMAL",C18)))</formula>
    </cfRule>
    <cfRule type="containsText" priority="26" operator="containsText" dxfId="3" stopIfTrue="1" text="N/D">
      <formula>NOT(ISERROR(SEARCH("N/D",C18)))</formula>
    </cfRule>
    <cfRule type="containsText" priority="27" operator="containsText" dxfId="0" stopIfTrue="1" text="PRECAUCIÓN">
      <formula>NOT(ISERROR(SEARCH("PRECAUCIÓN",C18)))</formula>
    </cfRule>
    <cfRule type="containsText" priority="28" operator="containsText" dxfId="1" stopIfTrue="1" text="NORMAL">
      <formula>NOT(ISERROR(SEARCH("NORMAL",C18)))</formula>
    </cfRule>
  </conditionalFormatting>
  <conditionalFormatting sqref="C26:L26">
    <cfRule type="cellIs" priority="8" operator="equal" dxfId="2" stopIfTrue="1">
      <formula>"POSITIVO"</formula>
    </cfRule>
  </conditionalFormatting>
  <conditionalFormatting sqref="C27:L27">
    <cfRule type="cellIs" priority="11" operator="greaterThanOrEqual" dxfId="2" stopIfTrue="1">
      <formula>$Q$27</formula>
    </cfRule>
  </conditionalFormatting>
  <conditionalFormatting sqref="C28:L28">
    <cfRule type="cellIs" priority="7" operator="equal" dxfId="2" stopIfTrue="1">
      <formula>"POSITIVO"</formula>
    </cfRule>
  </conditionalFormatting>
  <conditionalFormatting sqref="C32:L32">
    <cfRule type="cellIs" priority="56" operator="greaterThanOrEqual" dxfId="2" stopIfTrue="1">
      <formula>$Q$32</formula>
    </cfRule>
    <cfRule type="cellIs" priority="57" operator="between" dxfId="0" stopIfTrue="1">
      <formula>$O$32</formula>
      <formula>$Q$32</formula>
    </cfRule>
  </conditionalFormatting>
  <conditionalFormatting sqref="C33:L33">
    <cfRule type="cellIs" priority="3" operator="greaterThanOrEqual" dxfId="2" stopIfTrue="1">
      <formula>$Q$33</formula>
    </cfRule>
    <cfRule type="cellIs" priority="4" operator="between" dxfId="0" stopIfTrue="1">
      <formula>$O$33</formula>
      <formula>$Q$33</formula>
    </cfRule>
  </conditionalFormatting>
  <conditionalFormatting sqref="C34:L34">
    <cfRule type="cellIs" priority="5" operator="greaterThanOrEqual" dxfId="2" stopIfTrue="1">
      <formula>$Q$34</formula>
    </cfRule>
    <cfRule type="cellIs" priority="6" operator="between" dxfId="0" stopIfTrue="1">
      <formula>$O$34</formula>
      <formula>$Q$34</formula>
    </cfRule>
  </conditionalFormatting>
  <conditionalFormatting sqref="C35:L35">
    <cfRule type="cellIs" priority="2" operator="between" dxfId="0" stopIfTrue="1">
      <formula>$O$35</formula>
      <formula>$Q$35</formula>
    </cfRule>
    <cfRule type="cellIs" priority="1" operator="greaterThanOrEqual" dxfId="2" stopIfTrue="1">
      <formula>$Q$35</formula>
    </cfRule>
  </conditionalFormatting>
  <conditionalFormatting sqref="C39:L39">
    <cfRule type="cellIs" priority="43" operator="greaterThanOrEqual" dxfId="2" stopIfTrue="1">
      <formula>$Q$39</formula>
    </cfRule>
    <cfRule type="cellIs" priority="44" operator="between" dxfId="0" stopIfTrue="1">
      <formula>$O$39</formula>
      <formula>$Q$39</formula>
    </cfRule>
  </conditionalFormatting>
  <conditionalFormatting sqref="C40:L40">
    <cfRule type="cellIs" priority="41" operator="greaterThanOrEqual" dxfId="2" stopIfTrue="1">
      <formula>$Q$40</formula>
    </cfRule>
    <cfRule type="cellIs" priority="42" operator="between" dxfId="0" stopIfTrue="1">
      <formula>$O$40</formula>
      <formula>$Q$40</formula>
    </cfRule>
  </conditionalFormatting>
  <conditionalFormatting sqref="C41:L41">
    <cfRule type="cellIs" priority="19" operator="greaterThanOrEqual" dxfId="2" stopIfTrue="1">
      <formula>$Q$41</formula>
    </cfRule>
    <cfRule type="cellIs" priority="20" operator="between" dxfId="0" stopIfTrue="1">
      <formula>$O$41</formula>
      <formula>$Q$41</formula>
    </cfRule>
  </conditionalFormatting>
  <conditionalFormatting sqref="C42:L42">
    <cfRule type="cellIs" priority="17" operator="greaterThanOrEqual" dxfId="2" stopIfTrue="1">
      <formula>$Q$42</formula>
    </cfRule>
    <cfRule type="cellIs" priority="18" operator="between" dxfId="0" stopIfTrue="1">
      <formula>$O$42</formula>
      <formula>$Q$42</formula>
    </cfRule>
  </conditionalFormatting>
  <conditionalFormatting sqref="C46:L46">
    <cfRule type="cellIs" priority="15" operator="greaterThanOrEqual" dxfId="2" stopIfTrue="1">
      <formula>$Q$46</formula>
    </cfRule>
    <cfRule type="cellIs" priority="16" operator="between" dxfId="0" stopIfTrue="1">
      <formula>$O$46</formula>
      <formula>$Q$46</formula>
    </cfRule>
  </conditionalFormatting>
  <conditionalFormatting sqref="C47:L47">
    <cfRule type="cellIs" priority="52" operator="between" dxfId="0" stopIfTrue="1">
      <formula>$O$47</formula>
      <formula>$Q$47</formula>
    </cfRule>
    <cfRule type="cellIs" priority="51" operator="greaterThanOrEqual" dxfId="2" stopIfTrue="1">
      <formula>$Q$47</formula>
    </cfRule>
  </conditionalFormatting>
  <conditionalFormatting sqref="C48:L48">
    <cfRule type="cellIs" priority="53" operator="greaterThanOrEqual" dxfId="2" stopIfTrue="1">
      <formula>$Q$48</formula>
    </cfRule>
    <cfRule type="cellIs" priority="54" operator="between" dxfId="0" stopIfTrue="1">
      <formula>$O$48</formula>
      <formula>$Q$48</formula>
    </cfRule>
  </conditionalFormatting>
  <conditionalFormatting sqref="C49:L49">
    <cfRule type="cellIs" priority="49" operator="greaterThanOrEqual" dxfId="2" stopIfTrue="1">
      <formula>$Q$49</formula>
    </cfRule>
    <cfRule type="cellIs" priority="50" operator="between" dxfId="0" stopIfTrue="1">
      <formula>$O$49</formula>
      <formula>$Q$49</formula>
    </cfRule>
  </conditionalFormatting>
  <conditionalFormatting sqref="C50:L50">
    <cfRule type="cellIs" priority="47" operator="greaterThanOrEqual" dxfId="2" stopIfTrue="1">
      <formula>$Q$50</formula>
    </cfRule>
    <cfRule type="cellIs" priority="48" operator="between" dxfId="0" stopIfTrue="1">
      <formula>$O$50</formula>
      <formula>$Q$50</formula>
    </cfRule>
  </conditionalFormatting>
  <conditionalFormatting sqref="C51:L51">
    <cfRule type="cellIs" priority="45" operator="greaterThanOrEqual" dxfId="2" stopIfTrue="1">
      <formula>$Q$51</formula>
    </cfRule>
    <cfRule type="cellIs" priority="46" operator="between" dxfId="0" stopIfTrue="1">
      <formula>$O$51</formula>
      <formula>$Q$51</formula>
    </cfRule>
  </conditionalFormatting>
  <conditionalFormatting sqref="C55:L55">
    <cfRule type="cellIs" priority="40" operator="greaterThanOrEqual" dxfId="2" stopIfTrue="1">
      <formula>$Q$55</formula>
    </cfRule>
  </conditionalFormatting>
  <conditionalFormatting sqref="C56:L56">
    <cfRule type="cellIs" priority="39" operator="greaterThanOrEqual" dxfId="2" stopIfTrue="1">
      <formula>$Q$56</formula>
    </cfRule>
  </conditionalFormatting>
  <conditionalFormatting sqref="C57:L57">
    <cfRule type="cellIs" priority="38" operator="greaterThanOrEqual" dxfId="2" stopIfTrue="1">
      <formula>$Q$57</formula>
    </cfRule>
  </conditionalFormatting>
  <conditionalFormatting sqref="C58:L58">
    <cfRule type="cellIs" priority="36" operator="greaterThanOrEqual" dxfId="2" stopIfTrue="1">
      <formula>$Q$58</formula>
    </cfRule>
  </conditionalFormatting>
  <conditionalFormatting sqref="C59:L59">
    <cfRule type="cellIs" priority="37" operator="greaterThanOrEqual" dxfId="2" stopIfTrue="1">
      <formula>$Q$59</formula>
    </cfRule>
  </conditionalFormatting>
  <conditionalFormatting sqref="S3">
    <cfRule type="containsText" priority="21" operator="containsText" dxfId="3" stopIfTrue="1" text="SIN EVALUACIÓN">
      <formula>NOT(ISERROR(SEARCH("SIN EVALUACIÓN",S3)))</formula>
    </cfRule>
    <cfRule type="containsText" priority="24" operator="containsText" dxfId="2" stopIfTrue="1" text="PARÁMETROS ANORMALES">
      <formula>NOT(ISERROR(SEARCH("PARÁMETROS ANORMALES",S3)))</formula>
    </cfRule>
    <cfRule type="containsText" priority="23" operator="containsText" dxfId="1" stopIfTrue="1" text="PARÁMETROS NORMALES">
      <formula>NOT(ISERROR(SEARCH("PARÁMETROS NORMALES",S3)))</formula>
    </cfRule>
    <cfRule type="containsText" priority="22" operator="containsText" dxfId="0" stopIfTrue="1" text="PRECAUCIÓN">
      <formula>NOT(ISERROR(SEARCH("PRECAUCIÓN",S3)))</formula>
    </cfRule>
  </conditionalFormatting>
  <conditionalFormatting sqref="X21:AB21">
    <cfRule type="iconSet" priority="63">
      <iconSet iconSet="3Arrows">
        <cfvo type="percent" val="0"/>
        <cfvo type="percent" val="33"/>
        <cfvo type="percent" val="67"/>
      </iconSet>
    </cfRule>
  </conditionalFormatting>
  <conditionalFormatting sqref="X31:AB31">
    <cfRule type="iconSet" priority="62">
      <iconSet iconSet="3Arrows">
        <cfvo type="percent" val="0"/>
        <cfvo type="percent" val="33"/>
        <cfvo type="percent" val="67"/>
      </iconSet>
    </cfRule>
  </conditionalFormatting>
  <dataValidations count="4">
    <dataValidation sqref="S3" showDropDown="0" showInputMessage="1" showErrorMessage="1" allowBlank="1" type="list">
      <formula1>"PARÁMETROS NORMALES,PRECAUCIÓN,PARÁMETROS ANORMALES,SIN EVALUACIÓN"</formula1>
    </dataValidation>
    <dataValidation sqref="L2" showDropDown="0" showInputMessage="1" showErrorMessage="1" allowBlank="1" error="PARAMETROS FUERA DEL LIMITE CONDENATORIO_x000a_"/>
    <dataValidation sqref="C18:L18" showDropDown="0" showInputMessage="1" showErrorMessage="1" allowBlank="1" type="list">
      <formula1>"NORMAL,PRECAUCIÓN,ANORMAL,N/D"</formula1>
    </dataValidation>
    <dataValidation sqref="C26:L26 C28:L28" showDropDown="0" showInputMessage="1" showErrorMessage="1" allowBlank="1" type="list">
      <formula1>"NEGATIVO, POSITIVO"</formula1>
    </dataValidation>
  </dataValidations>
  <pageMargins left="0" right="0" top="0" bottom="0" header="0" footer="0"/>
  <pageSetup orientation="landscape" scale="42"/>
  <colBreaks count="1" manualBreakCount="1">
    <brk id="23" min="0" max="1048575" man="1"/>
  </colBreak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H75"/>
  <sheetViews>
    <sheetView showGridLines="0" view="pageBreakPreview" topLeftCell="B52" zoomScale="70" zoomScaleNormal="100" zoomScaleSheetLayoutView="70" workbookViewId="0">
      <selection activeCell="B81" sqref="B81"/>
    </sheetView>
  </sheetViews>
  <sheetFormatPr baseColWidth="10" defaultRowHeight="12"/>
  <cols>
    <col width="3.5703125" customWidth="1" style="140" min="1" max="1"/>
    <col width="54" customWidth="1" style="140" min="2" max="2"/>
    <col width="14.85546875" customWidth="1" style="140" min="3" max="12"/>
    <col width="2.140625" customWidth="1" style="140" min="13" max="13"/>
    <col width="4" customWidth="1" style="140" min="14" max="14"/>
    <col width="6.85546875" customWidth="1" style="140" min="15" max="15"/>
    <col width="4.140625" customWidth="1" style="140" min="16" max="16"/>
    <col width="6.7109375" customWidth="1" style="140" min="17" max="17"/>
    <col width="6.5703125" customWidth="1" style="140" min="18" max="18"/>
    <col width="22.42578125" customWidth="1" style="140" min="19" max="19"/>
    <col width="15.28515625" customWidth="1" style="140" min="20" max="23"/>
    <col width="11.42578125" customWidth="1" style="140" min="24" max="16384"/>
  </cols>
  <sheetData>
    <row r="1" ht="27.95" customHeight="1" thickBot="1">
      <c r="A1" s="424" t="inlineStr">
        <is>
          <t>REPORTE DE ANÁLISIS DE LUBRICANTE</t>
        </is>
      </c>
      <c r="B1" s="425" t="n"/>
      <c r="C1" s="425" t="n"/>
      <c r="D1" s="425" t="n"/>
      <c r="E1" s="425" t="n"/>
      <c r="F1" s="425" t="n"/>
      <c r="G1" s="425" t="n"/>
      <c r="H1" s="425" t="n"/>
      <c r="I1" s="425" t="n"/>
      <c r="J1" s="425" t="n"/>
      <c r="K1" s="425" t="n"/>
      <c r="L1" s="425" t="n"/>
      <c r="M1" s="425" t="n"/>
      <c r="N1" s="425" t="n"/>
      <c r="O1" s="425" t="n"/>
      <c r="P1" s="425" t="n"/>
      <c r="Q1" s="425" t="n"/>
      <c r="R1" s="425" t="n"/>
      <c r="S1" s="425" t="n"/>
      <c r="T1" s="425" t="n"/>
      <c r="U1" s="425" t="n"/>
      <c r="V1" s="425" t="n"/>
      <c r="W1" s="426" t="n"/>
    </row>
    <row r="2" ht="24" customHeight="1" thickBot="1">
      <c r="A2" s="427" t="n"/>
      <c r="B2" s="428" t="n"/>
      <c r="C2" s="429" t="inlineStr">
        <is>
          <t>NOMBRE DEL CLIENTE:</t>
        </is>
      </c>
      <c r="D2" s="430" t="n"/>
      <c r="E2" s="430" t="n"/>
      <c r="F2" s="430" t="n"/>
      <c r="G2" s="428" t="n"/>
      <c r="H2" s="311" t="inlineStr">
        <is>
          <t>Compartimento:</t>
        </is>
      </c>
      <c r="I2" s="431" t="n"/>
      <c r="J2" s="431" t="n"/>
      <c r="K2" s="432" t="n"/>
      <c r="L2" s="328">
        <f>Datos!A184</f>
        <v/>
      </c>
      <c r="M2" s="431" t="n"/>
      <c r="N2" s="431" t="n"/>
      <c r="O2" s="431" t="n"/>
      <c r="P2" s="431" t="n"/>
      <c r="Q2" s="431" t="n"/>
      <c r="R2" s="432" t="n"/>
      <c r="S2" s="433" t="inlineStr">
        <is>
          <t>Diagnóstico de la última muestra:</t>
        </is>
      </c>
      <c r="T2" s="425" t="n"/>
      <c r="U2" s="425" t="n"/>
      <c r="V2" s="425" t="n"/>
      <c r="W2" s="426" t="n"/>
      <c r="X2" s="141" t="n"/>
      <c r="Y2" s="141" t="n"/>
      <c r="Z2" s="141" t="n"/>
      <c r="AA2" s="141" t="inlineStr">
        <is>
          <t>SWING</t>
        </is>
      </c>
      <c r="AB2" s="141" t="n"/>
    </row>
    <row r="3" ht="24" customHeight="1">
      <c r="A3" s="151" t="n"/>
      <c r="B3" s="434" t="n"/>
      <c r="C3" s="435" t="n"/>
      <c r="D3" s="141" t="n"/>
      <c r="E3" s="141" t="n"/>
      <c r="F3" s="141" t="n"/>
      <c r="G3" s="434" t="n"/>
      <c r="H3" s="317" t="inlineStr">
        <is>
          <t>Equipo:</t>
        </is>
      </c>
      <c r="I3" s="436" t="n"/>
      <c r="J3" s="436" t="n"/>
      <c r="K3" s="437" t="n"/>
      <c r="L3" s="210">
        <f>MOTOR!AA3</f>
        <v/>
      </c>
      <c r="M3" s="399" t="n"/>
      <c r="N3" s="399" t="n"/>
      <c r="O3" s="399" t="n"/>
      <c r="P3" s="399" t="n"/>
      <c r="Q3" s="399" t="n"/>
      <c r="R3" s="400" t="n"/>
      <c r="S3" s="438" t="inlineStr">
        <is>
          <t>SIN EVALUACIÓN</t>
        </is>
      </c>
      <c r="T3" s="430" t="n"/>
      <c r="U3" s="430" t="n"/>
      <c r="V3" s="430" t="n"/>
      <c r="W3" s="439" t="n"/>
      <c r="X3" s="141" t="n"/>
      <c r="Y3" s="141" t="n"/>
      <c r="Z3" s="141" t="n"/>
      <c r="AA3" s="141" t="inlineStr">
        <is>
          <t>UG 00</t>
        </is>
      </c>
      <c r="AB3" s="141" t="n"/>
      <c r="AH3" t="inlineStr">
        <is>
          <t>SIN EVALUACION</t>
        </is>
      </c>
    </row>
    <row r="4" ht="24" customHeight="1" thickBot="1">
      <c r="A4" s="151" t="n"/>
      <c r="B4" s="434" t="n"/>
      <c r="C4" s="404" t="inlineStr">
        <is>
          <t>JUSTICE COMPANY</t>
        </is>
      </c>
      <c r="G4" s="397" t="n"/>
      <c r="H4" s="317" t="inlineStr">
        <is>
          <t>Marca:</t>
        </is>
      </c>
      <c r="I4" s="436" t="n"/>
      <c r="J4" s="436" t="n"/>
      <c r="K4" s="437" t="n"/>
      <c r="L4" s="210">
        <f>MOTOR!AA4</f>
        <v/>
      </c>
      <c r="M4" s="399" t="n"/>
      <c r="N4" s="399" t="n"/>
      <c r="O4" s="399" t="n"/>
      <c r="P4" s="399" t="n"/>
      <c r="Q4" s="399" t="n"/>
      <c r="R4" s="400" t="n"/>
      <c r="S4" s="440" t="n"/>
      <c r="T4" s="187" t="n"/>
      <c r="U4" s="187" t="n"/>
      <c r="V4" s="187" t="n"/>
      <c r="W4" s="441" t="n"/>
      <c r="X4" s="141" t="n"/>
      <c r="Y4" s="141" t="n"/>
      <c r="Z4" s="141" t="n"/>
      <c r="AA4" s="141" t="inlineStr">
        <is>
          <t>MARCA EQUIPO</t>
        </is>
      </c>
      <c r="AB4" s="141" t="n"/>
    </row>
    <row r="5" ht="24" customHeight="1">
      <c r="A5" s="151" t="n"/>
      <c r="B5" s="434" t="n"/>
      <c r="C5" s="398" t="n"/>
      <c r="G5" s="397" t="n"/>
      <c r="H5" s="317" t="inlineStr">
        <is>
          <t>Serie:</t>
        </is>
      </c>
      <c r="I5" s="436" t="n"/>
      <c r="J5" s="436" t="n"/>
      <c r="K5" s="437" t="n"/>
      <c r="L5" s="210">
        <f>MOTOR!AA5</f>
        <v/>
      </c>
      <c r="M5" s="399" t="n"/>
      <c r="N5" s="399" t="n"/>
      <c r="O5" s="399" t="n"/>
      <c r="P5" s="399" t="n"/>
      <c r="Q5" s="399" t="n"/>
      <c r="R5" s="400" t="n"/>
      <c r="S5" s="442" t="n"/>
      <c r="T5" s="430" t="n"/>
      <c r="U5" s="430" t="n"/>
      <c r="V5" s="430" t="n"/>
      <c r="W5" s="439" t="n"/>
      <c r="X5" s="141" t="n"/>
      <c r="Y5" s="141" t="n"/>
      <c r="Z5" s="141" t="n"/>
      <c r="AA5" s="141" t="inlineStr">
        <is>
          <t>SERIE</t>
        </is>
      </c>
      <c r="AB5" s="141" t="n"/>
    </row>
    <row r="6" ht="24" customHeight="1">
      <c r="A6" s="151" t="n"/>
      <c r="B6" s="434" t="n"/>
      <c r="C6" s="398" t="n"/>
      <c r="G6" s="397" t="n"/>
      <c r="H6" s="317" t="inlineStr">
        <is>
          <t>Modelo:</t>
        </is>
      </c>
      <c r="I6" s="436" t="n"/>
      <c r="J6" s="436" t="n"/>
      <c r="K6" s="437" t="n"/>
      <c r="L6" s="210">
        <f>MOTOR!AA6</f>
        <v/>
      </c>
      <c r="M6" s="399" t="n"/>
      <c r="N6" s="399" t="n"/>
      <c r="O6" s="399" t="n"/>
      <c r="P6" s="399" t="n"/>
      <c r="Q6" s="399" t="n"/>
      <c r="R6" s="400" t="n"/>
      <c r="S6" s="151" t="n"/>
      <c r="T6" s="141" t="n"/>
      <c r="U6" s="141" t="n"/>
      <c r="V6" s="141" t="n"/>
      <c r="W6" s="152" t="n"/>
      <c r="X6" s="141" t="n"/>
      <c r="Y6" s="141" t="n"/>
      <c r="Z6" s="141" t="n"/>
      <c r="AA6" s="141" t="inlineStr">
        <is>
          <t>MODELO</t>
        </is>
      </c>
      <c r="AB6" s="141" t="n"/>
    </row>
    <row r="7" ht="24" customHeight="1">
      <c r="A7" s="151" t="n"/>
      <c r="B7" s="434" t="n"/>
      <c r="C7" s="398" t="n"/>
      <c r="G7" s="397" t="n"/>
      <c r="H7" s="317" t="inlineStr">
        <is>
          <t>Lubricante:</t>
        </is>
      </c>
      <c r="I7" s="436" t="n"/>
      <c r="J7" s="436" t="n"/>
      <c r="K7" s="437" t="n"/>
      <c r="L7" s="330" t="n"/>
      <c r="M7" s="436" t="n"/>
      <c r="N7" s="436" t="n"/>
      <c r="O7" s="436" t="n"/>
      <c r="P7" s="436" t="n"/>
      <c r="Q7" s="436" t="n"/>
      <c r="R7" s="437" t="n"/>
      <c r="S7" s="151" t="n"/>
      <c r="T7" s="141" t="n"/>
      <c r="U7" s="141" t="n"/>
      <c r="V7" s="141" t="n"/>
      <c r="W7" s="152" t="n"/>
      <c r="X7" s="141" t="n"/>
      <c r="Y7" s="141" t="n"/>
      <c r="Z7" s="141" t="n"/>
      <c r="AA7" s="141" t="inlineStr">
        <is>
          <t>15W40</t>
        </is>
      </c>
      <c r="AB7" s="141" t="n"/>
    </row>
    <row r="8" ht="24" customHeight="1" thickBot="1">
      <c r="A8" s="440" t="n"/>
      <c r="B8" s="443" t="n"/>
      <c r="C8" s="409" t="n"/>
      <c r="D8" s="73" t="n"/>
      <c r="E8" s="73" t="n"/>
      <c r="F8" s="73" t="n"/>
      <c r="G8" s="408" t="n"/>
      <c r="H8" s="283" t="inlineStr">
        <is>
          <t xml:space="preserve">Marca del Lubricante: </t>
        </is>
      </c>
      <c r="I8" s="444" t="n"/>
      <c r="J8" s="444" t="n"/>
      <c r="K8" s="445" t="n"/>
      <c r="L8" s="326" t="n"/>
      <c r="M8" s="444" t="n"/>
      <c r="N8" s="444" t="n"/>
      <c r="O8" s="444" t="n"/>
      <c r="P8" s="444" t="n"/>
      <c r="Q8" s="444" t="n"/>
      <c r="R8" s="445" t="n"/>
      <c r="S8" s="440" t="n"/>
      <c r="T8" s="187" t="n"/>
      <c r="U8" s="187" t="n"/>
      <c r="V8" s="187" t="n"/>
      <c r="W8" s="441" t="n"/>
      <c r="X8" s="141" t="n"/>
      <c r="Y8" s="141" t="n"/>
      <c r="Z8" s="141" t="n"/>
      <c r="AA8" s="141" t="inlineStr">
        <is>
          <t>GULF</t>
        </is>
      </c>
      <c r="AB8" s="141" t="n"/>
    </row>
    <row r="9" ht="15.75" customHeight="1">
      <c r="A9" s="142" t="n"/>
      <c r="B9" s="286" t="n"/>
      <c r="C9" s="141" t="n"/>
      <c r="D9" s="141" t="n"/>
      <c r="E9" s="141" t="n"/>
      <c r="F9" s="141" t="n"/>
      <c r="G9" s="141" t="n"/>
      <c r="H9" s="141" t="n"/>
      <c r="I9" s="141" t="n"/>
      <c r="J9" s="141" t="n"/>
      <c r="K9" s="141" t="n"/>
      <c r="L9" s="141" t="n"/>
      <c r="M9" s="141" t="n"/>
      <c r="N9" s="141" t="n"/>
      <c r="O9" s="141" t="n"/>
      <c r="P9" s="286" t="n"/>
      <c r="Q9" s="144" t="n"/>
      <c r="R9" s="145" t="n"/>
      <c r="S9" s="146" t="n"/>
      <c r="T9" s="147" t="n"/>
      <c r="U9" s="147" t="n"/>
      <c r="V9" s="147" t="n"/>
      <c r="W9" s="148" t="n"/>
      <c r="X9" s="141" t="n"/>
      <c r="Y9" s="141" t="n"/>
      <c r="Z9" s="141" t="n"/>
      <c r="AA9" s="141" t="n"/>
      <c r="AB9" s="141" t="n"/>
    </row>
    <row r="10" ht="15.75" customHeight="1">
      <c r="A10" s="142" t="n"/>
      <c r="B10" s="275" t="inlineStr">
        <is>
          <t>INFORMACIÓN DE LA MUESTRA</t>
        </is>
      </c>
      <c r="C10" s="446" t="n"/>
      <c r="D10" s="446" t="n"/>
      <c r="E10" s="446" t="n"/>
      <c r="F10" s="446" t="n"/>
      <c r="G10" s="446" t="n"/>
      <c r="H10" s="446" t="n"/>
      <c r="I10" s="446" t="n"/>
      <c r="J10" s="446" t="n"/>
      <c r="K10" s="446" t="n"/>
      <c r="L10" s="447" t="n"/>
      <c r="M10" s="144" t="n"/>
      <c r="N10" s="144" t="n"/>
      <c r="O10" s="144" t="n"/>
      <c r="P10" s="144" t="n"/>
      <c r="Q10" s="144" t="n"/>
      <c r="R10" s="145" t="n"/>
      <c r="S10" s="146" t="n"/>
      <c r="T10" s="147" t="n"/>
      <c r="U10" s="147" t="n"/>
      <c r="V10" s="147" t="n"/>
      <c r="W10" s="148" t="n"/>
      <c r="X10" s="141" t="n"/>
      <c r="Y10" s="141" t="n"/>
      <c r="Z10" s="141" t="n"/>
      <c r="AA10" s="141" t="n"/>
      <c r="AB10" s="141" t="n"/>
    </row>
    <row r="11" ht="15" customHeight="1">
      <c r="A11" s="142" t="n"/>
      <c r="B11" s="448" t="n"/>
      <c r="C11" s="449" t="n"/>
      <c r="D11" s="449" t="n"/>
      <c r="E11" s="449" t="n"/>
      <c r="F11" s="449" t="n"/>
      <c r="G11" s="449" t="n"/>
      <c r="H11" s="449" t="n"/>
      <c r="I11" s="449" t="n"/>
      <c r="J11" s="449" t="n"/>
      <c r="K11" s="449" t="n"/>
      <c r="L11" s="450" t="n"/>
      <c r="M11" s="149" t="n"/>
      <c r="N11" s="149" t="n"/>
      <c r="O11" s="149" t="n"/>
      <c r="P11" s="149" t="n"/>
      <c r="Q11" s="149" t="n"/>
      <c r="R11" s="150" t="n"/>
      <c r="S11" s="151" t="n"/>
      <c r="T11" s="141" t="n"/>
      <c r="U11" s="141" t="n"/>
      <c r="V11" s="141" t="n"/>
      <c r="W11" s="152" t="n"/>
      <c r="X11" s="141" t="n"/>
      <c r="Y11" s="141" t="n"/>
      <c r="Z11" s="141" t="n"/>
      <c r="AA11" s="141" t="n"/>
      <c r="AB11" s="141" t="n"/>
    </row>
    <row r="12" ht="18" customHeight="1">
      <c r="A12" s="142" t="n"/>
      <c r="B12" s="153" t="inlineStr">
        <is>
          <t>Numeración de Muestra</t>
        </is>
      </c>
      <c r="C12" s="154" t="inlineStr">
        <is>
          <t>MUESTRA-001</t>
        </is>
      </c>
      <c r="D12" s="154" t="n"/>
      <c r="E12" s="154" t="n"/>
      <c r="F12" s="154" t="n"/>
      <c r="G12" s="154" t="n"/>
      <c r="H12" s="154" t="n"/>
      <c r="I12" s="154" t="n"/>
      <c r="J12" s="154" t="n"/>
      <c r="K12" s="154" t="n"/>
      <c r="L12" s="154" t="n"/>
      <c r="R12" s="155" t="n"/>
      <c r="S12" s="151" t="n"/>
      <c r="T12" s="141" t="n"/>
      <c r="U12" s="141" t="n"/>
      <c r="V12" s="141" t="n"/>
      <c r="W12" s="152" t="n"/>
      <c r="X12" s="141" t="n"/>
      <c r="Y12" s="141" t="n"/>
      <c r="Z12" s="141" t="n"/>
      <c r="AA12" s="141" t="n"/>
      <c r="AB12" s="141" t="n"/>
    </row>
    <row r="13" ht="18" customHeight="1">
      <c r="A13" s="142" t="n"/>
      <c r="B13" s="153" t="inlineStr">
        <is>
          <t>Fecha de Muestreo</t>
        </is>
      </c>
      <c r="C13" s="451" t="inlineStr">
        <is>
          <t>2026-03-28</t>
        </is>
      </c>
      <c r="D13" s="451" t="n"/>
      <c r="E13" s="451" t="n"/>
      <c r="F13" s="451" t="n"/>
      <c r="G13" s="451" t="n"/>
      <c r="H13" s="451" t="n"/>
      <c r="I13" s="451" t="n"/>
      <c r="J13" s="451" t="n"/>
      <c r="K13" s="451" t="n"/>
      <c r="L13" s="451" t="n"/>
      <c r="R13" s="155" t="n"/>
      <c r="S13" s="151" t="n"/>
      <c r="T13" s="141" t="n"/>
      <c r="U13" s="141" t="n"/>
      <c r="V13" s="141" t="n"/>
      <c r="W13" s="152" t="n"/>
      <c r="X13" s="141" t="n"/>
      <c r="Y13" s="141" t="n"/>
      <c r="Z13" s="141" t="n"/>
      <c r="AA13" s="141" t="n"/>
      <c r="AB13" s="141" t="n"/>
    </row>
    <row r="14" ht="15.75" customHeight="1">
      <c r="A14" s="142" t="n"/>
      <c r="B14" s="153" t="inlineStr">
        <is>
          <t>Fecha de Ingreso</t>
        </is>
      </c>
      <c r="C14" s="451" t="inlineStr">
        <is>
          <t>2026-03-29</t>
        </is>
      </c>
      <c r="D14" s="451" t="n"/>
      <c r="E14" s="451" t="n"/>
      <c r="F14" s="451" t="n"/>
      <c r="G14" s="451" t="n"/>
      <c r="H14" s="451" t="n"/>
      <c r="I14" s="451" t="n"/>
      <c r="J14" s="451" t="n"/>
      <c r="K14" s="451" t="n"/>
      <c r="L14" s="451" t="n"/>
      <c r="R14" s="155" t="n"/>
      <c r="S14" s="151" t="n"/>
      <c r="T14" s="141" t="n"/>
      <c r="U14" s="141" t="n"/>
      <c r="V14" s="141" t="n"/>
      <c r="W14" s="152" t="n"/>
      <c r="X14" s="141" t="n"/>
      <c r="Y14" s="141" t="n"/>
      <c r="Z14" s="141" t="n"/>
      <c r="AA14" s="141" t="n"/>
      <c r="AB14" s="141" t="n"/>
    </row>
    <row r="15" ht="18" customHeight="1">
      <c r="A15" s="142" t="n"/>
      <c r="B15" s="153" t="inlineStr">
        <is>
          <t>Fecha de Informe</t>
        </is>
      </c>
      <c r="C15" s="451" t="inlineStr">
        <is>
          <t>2026-03-30</t>
        </is>
      </c>
      <c r="D15" s="451" t="n"/>
      <c r="E15" s="451" t="n"/>
      <c r="F15" s="451" t="n"/>
      <c r="G15" s="451" t="n"/>
      <c r="H15" s="451" t="n"/>
      <c r="I15" s="451" t="n"/>
      <c r="J15" s="451" t="n"/>
      <c r="K15" s="451" t="n"/>
      <c r="L15" s="451" t="n"/>
      <c r="R15" s="155" t="n"/>
      <c r="S15" s="151" t="n"/>
      <c r="T15" s="141" t="n"/>
      <c r="U15" s="141" t="n"/>
      <c r="V15" s="141" t="n"/>
      <c r="W15" s="152" t="n"/>
      <c r="X15" s="141" t="n"/>
      <c r="Y15" s="141" t="n"/>
      <c r="Z15" s="141" t="n"/>
      <c r="AA15" s="141" t="n"/>
      <c r="AB15" s="141" t="n"/>
    </row>
    <row r="16" ht="18" customHeight="1">
      <c r="A16" s="142" t="n"/>
      <c r="B16" s="153" t="inlineStr">
        <is>
          <t>Equipo Hrs/ Km</t>
        </is>
      </c>
      <c r="C16" s="154" t="n">
        <v>12000</v>
      </c>
      <c r="D16" s="154" t="n"/>
      <c r="E16" s="154" t="n"/>
      <c r="F16" s="154" t="n"/>
      <c r="G16" s="154" t="n"/>
      <c r="H16" s="154" t="n"/>
      <c r="I16" s="154" t="n"/>
      <c r="J16" s="154" t="n"/>
      <c r="K16" s="154" t="n"/>
      <c r="L16" s="154" t="n"/>
      <c r="R16" s="155" t="n"/>
      <c r="S16" s="151" t="n"/>
      <c r="T16" s="141" t="n"/>
      <c r="U16" s="141" t="n"/>
      <c r="V16" s="141" t="n"/>
      <c r="W16" s="152" t="n"/>
      <c r="X16" s="141" t="n"/>
      <c r="Y16" s="141" t="n"/>
      <c r="Z16" s="141" t="n"/>
      <c r="AA16" s="141" t="n"/>
      <c r="AB16" s="141" t="n"/>
    </row>
    <row r="17" ht="18" customHeight="1">
      <c r="A17" s="142" t="n"/>
      <c r="B17" s="153" t="inlineStr">
        <is>
          <t>Aceite Hrs/ Km</t>
        </is>
      </c>
      <c r="C17" s="154" t="n">
        <v>320</v>
      </c>
      <c r="D17" s="154" t="n"/>
      <c r="E17" s="154" t="n"/>
      <c r="F17" s="154" t="n"/>
      <c r="G17" s="154" t="n"/>
      <c r="H17" s="154" t="n"/>
      <c r="I17" s="154" t="n"/>
      <c r="J17" s="154" t="n"/>
      <c r="K17" s="154" t="n"/>
      <c r="L17" s="154" t="n"/>
      <c r="R17" s="155" t="n"/>
      <c r="S17" s="151" t="n"/>
      <c r="T17" s="141" t="n"/>
      <c r="U17" s="141" t="n"/>
      <c r="V17" s="141" t="n"/>
      <c r="W17" s="152" t="n"/>
      <c r="X17" s="141" t="n"/>
      <c r="Y17" s="141" t="n"/>
      <c r="Z17" s="141" t="n"/>
      <c r="AA17" s="141" t="n"/>
      <c r="AB17" s="141" t="n"/>
    </row>
    <row r="18" ht="18" customHeight="1">
      <c r="A18" s="142" t="n"/>
      <c r="B18" s="153" t="inlineStr">
        <is>
          <t>Condición</t>
        </is>
      </c>
      <c r="C18" s="157" t="inlineStr">
        <is>
          <t>NORMAL</t>
        </is>
      </c>
      <c r="D18" s="157" t="n"/>
      <c r="E18" s="157" t="n"/>
      <c r="F18" s="157" t="n"/>
      <c r="G18" s="157" t="n"/>
      <c r="H18" s="157" t="n"/>
      <c r="I18" s="157" t="n"/>
      <c r="J18" s="157" t="n"/>
      <c r="K18" s="157" t="n"/>
      <c r="L18" s="157" t="n"/>
      <c r="R18" s="155" t="n"/>
      <c r="S18" s="151" t="n"/>
      <c r="T18" s="141" t="n"/>
      <c r="U18" s="141" t="n"/>
      <c r="V18" s="141" t="n"/>
      <c r="W18" s="152" t="n"/>
      <c r="X18" s="141" t="n"/>
      <c r="Y18" s="141" t="n"/>
      <c r="Z18" s="141" t="n"/>
      <c r="AA18" s="141" t="n"/>
      <c r="AB18" s="141" t="n"/>
    </row>
    <row r="19" ht="18" customHeight="1">
      <c r="A19" s="142" t="n"/>
      <c r="B19" s="158" t="n"/>
      <c r="C19" s="158" t="n"/>
      <c r="D19" s="158" t="n"/>
      <c r="E19" s="158" t="n"/>
      <c r="F19" s="158" t="n"/>
      <c r="G19" s="158" t="n"/>
      <c r="H19" s="158" t="n"/>
      <c r="I19" s="158" t="n"/>
      <c r="J19" s="158" t="n"/>
      <c r="K19" s="158" t="n"/>
      <c r="L19" s="158" t="n"/>
      <c r="R19" s="155" t="n"/>
      <c r="S19" s="151" t="n"/>
      <c r="T19" s="141" t="n"/>
      <c r="U19" s="141" t="n"/>
      <c r="V19" s="141" t="n"/>
      <c r="W19" s="152" t="n"/>
      <c r="X19" s="141" t="n"/>
      <c r="Y19" s="141" t="n"/>
      <c r="Z19" s="141" t="n"/>
      <c r="AA19" s="141" t="n"/>
      <c r="AB19" s="141" t="n"/>
    </row>
    <row r="20" ht="18" customHeight="1">
      <c r="A20" s="142" t="n"/>
      <c r="B20" s="275" t="inlineStr">
        <is>
          <t>ESTADO DEL LUBRICANTE</t>
        </is>
      </c>
      <c r="C20" s="446" t="n"/>
      <c r="D20" s="446" t="n"/>
      <c r="E20" s="446" t="n"/>
      <c r="F20" s="446" t="n"/>
      <c r="G20" s="446" t="n"/>
      <c r="H20" s="446" t="n"/>
      <c r="I20" s="446" t="n"/>
      <c r="J20" s="446" t="n"/>
      <c r="K20" s="446" t="n"/>
      <c r="L20" s="447" t="n"/>
      <c r="N20" s="276" t="inlineStr">
        <is>
          <t>* Rangos Generales</t>
        </is>
      </c>
      <c r="O20" s="436" t="n"/>
      <c r="P20" s="436" t="n"/>
      <c r="Q20" s="437" t="n"/>
      <c r="R20" s="155" t="n"/>
      <c r="S20" s="151" t="n"/>
      <c r="T20" s="141" t="n"/>
      <c r="U20" s="141" t="n"/>
      <c r="V20" s="141" t="n"/>
      <c r="W20" s="152" t="n"/>
      <c r="X20" s="141" t="n"/>
      <c r="Y20" s="141" t="n"/>
      <c r="Z20" s="141" t="n"/>
      <c r="AA20" s="141" t="n"/>
      <c r="AB20" s="141" t="n"/>
    </row>
    <row r="21" ht="18" customHeight="1">
      <c r="A21" s="142" t="n"/>
      <c r="B21" s="448" t="n"/>
      <c r="C21" s="449" t="n"/>
      <c r="D21" s="449" t="n"/>
      <c r="E21" s="449" t="n"/>
      <c r="F21" s="449" t="n"/>
      <c r="G21" s="449" t="n"/>
      <c r="H21" s="449" t="n"/>
      <c r="I21" s="449" t="n"/>
      <c r="J21" s="449" t="n"/>
      <c r="K21" s="449" t="n"/>
      <c r="L21" s="450" t="n"/>
      <c r="M21" s="149" t="n"/>
      <c r="N21" s="276" t="inlineStr">
        <is>
          <t>Precaución</t>
        </is>
      </c>
      <c r="O21" s="437" t="n"/>
      <c r="P21" s="276" t="inlineStr">
        <is>
          <t>Anormal</t>
        </is>
      </c>
      <c r="Q21" s="437" t="n"/>
      <c r="R21" s="155" t="n"/>
      <c r="S21" s="151" t="n"/>
      <c r="T21" s="141" t="n"/>
      <c r="U21" s="141" t="n"/>
      <c r="V21" s="141" t="n"/>
      <c r="W21" s="152" t="n"/>
      <c r="X21" s="286" t="n"/>
      <c r="Y21" s="286" t="n"/>
      <c r="Z21" s="286" t="n"/>
      <c r="AA21" s="286" t="n"/>
      <c r="AB21" s="286" t="n"/>
    </row>
    <row r="22" hidden="1" ht="15.75" customHeight="1">
      <c r="A22" s="142" t="n"/>
      <c r="B22" s="153" t="inlineStr">
        <is>
          <t>Viscosidad a 100ºC, cSt</t>
        </is>
      </c>
      <c r="C22" s="452" t="n">
        <v>0</v>
      </c>
      <c r="D22" s="452" t="n"/>
      <c r="E22" s="452" t="n"/>
      <c r="F22" s="452" t="n"/>
      <c r="G22" s="452" t="n"/>
      <c r="H22" s="452" t="n"/>
      <c r="I22" s="452" t="n"/>
      <c r="J22" s="452" t="n"/>
      <c r="K22" s="452" t="n"/>
      <c r="L22" s="452" t="n"/>
      <c r="M22" s="149" t="n"/>
      <c r="N22" s="160" t="n"/>
      <c r="O22" s="453" t="n"/>
      <c r="P22" s="162" t="n"/>
      <c r="Q22" s="453" t="n"/>
      <c r="R22" s="155" t="n"/>
      <c r="S22" s="151" t="n"/>
      <c r="T22" s="141" t="n"/>
      <c r="U22" s="141" t="n"/>
      <c r="V22" s="141" t="n"/>
      <c r="W22" s="152" t="n"/>
      <c r="X22" s="141" t="n"/>
      <c r="Y22" s="141" t="n"/>
      <c r="Z22" s="141" t="n"/>
      <c r="AA22" s="141" t="n"/>
      <c r="AB22" s="141" t="n"/>
    </row>
    <row r="23" ht="15.75" customHeight="1">
      <c r="A23" s="142" t="n"/>
      <c r="B23" s="153" t="inlineStr">
        <is>
          <t>Viscosidad a 40ºC, cSt</t>
        </is>
      </c>
      <c r="C23" s="452" t="n">
        <v>0</v>
      </c>
      <c r="D23" s="452" t="n"/>
      <c r="E23" s="452" t="n"/>
      <c r="F23" s="452" t="n"/>
      <c r="G23" s="452" t="n"/>
      <c r="H23" s="452" t="n"/>
      <c r="I23" s="452" t="n"/>
      <c r="J23" s="452" t="n"/>
      <c r="K23" s="452" t="n"/>
      <c r="L23" s="452" t="n"/>
      <c r="M23" s="149" t="n"/>
      <c r="N23" s="160" t="n"/>
      <c r="O23" s="453" t="n"/>
      <c r="P23" s="162" t="n"/>
      <c r="Q23" s="453" t="n"/>
      <c r="R23" s="155" t="n"/>
      <c r="S23" s="151" t="n"/>
      <c r="T23" s="141" t="n"/>
      <c r="U23" s="141" t="n"/>
      <c r="V23" s="141" t="n"/>
      <c r="W23" s="152" t="n"/>
      <c r="X23" s="141" t="n"/>
      <c r="Y23" s="141" t="n"/>
      <c r="Z23" s="141" t="n"/>
      <c r="AA23" s="141" t="n"/>
      <c r="AB23" s="141" t="n"/>
    </row>
    <row r="24" hidden="1" ht="15.75" customHeight="1">
      <c r="A24" s="142" t="n"/>
      <c r="B24" s="153" t="inlineStr">
        <is>
          <t>Indice de Viscosidad</t>
        </is>
      </c>
      <c r="C24" s="163" t="n">
        <v>0</v>
      </c>
      <c r="D24" s="163" t="n"/>
      <c r="E24" s="163" t="n"/>
      <c r="F24" s="163" t="n"/>
      <c r="G24" s="163" t="n"/>
      <c r="H24" s="163" t="n"/>
      <c r="I24" s="163" t="n"/>
      <c r="J24" s="163" t="n"/>
      <c r="K24" s="163" t="n"/>
      <c r="L24" s="163" t="n"/>
      <c r="M24" s="149" t="n"/>
      <c r="N24" s="164" t="n"/>
      <c r="O24" s="454" t="n"/>
      <c r="P24" s="164" t="n"/>
      <c r="Q24" s="454" t="n"/>
      <c r="R24" s="155" t="n"/>
      <c r="S24" s="151" t="n"/>
      <c r="T24" s="141" t="n"/>
      <c r="U24" s="141" t="n"/>
      <c r="V24" s="141" t="n"/>
      <c r="W24" s="152" t="n"/>
      <c r="X24" s="141" t="n"/>
      <c r="Y24" s="141" t="n"/>
      <c r="Z24" s="141" t="n"/>
      <c r="AA24" s="141" t="n"/>
      <c r="AB24" s="141" t="n"/>
    </row>
    <row r="25" hidden="1" ht="15.75" customHeight="1">
      <c r="A25" s="142" t="n"/>
      <c r="B25" s="153" t="inlineStr">
        <is>
          <t>T.B.N. mgKOH/gr</t>
        </is>
      </c>
      <c r="C25" s="455" t="n">
        <v>0</v>
      </c>
      <c r="D25" s="455" t="n"/>
      <c r="E25" s="455" t="n"/>
      <c r="F25" s="455" t="n"/>
      <c r="G25" s="455" t="n"/>
      <c r="H25" s="455" t="n"/>
      <c r="I25" s="455" t="n"/>
      <c r="J25" s="455" t="n"/>
      <c r="K25" s="455" t="n"/>
      <c r="L25" s="455" t="n"/>
      <c r="M25" s="167" t="n"/>
      <c r="N25" s="276" t="inlineStr">
        <is>
          <t>[50% TBN -1]</t>
        </is>
      </c>
      <c r="O25" s="436" t="n"/>
      <c r="P25" s="436" t="n"/>
      <c r="Q25" s="437" t="n"/>
      <c r="R25" s="155" t="n"/>
      <c r="S25" s="151" t="n"/>
      <c r="T25" s="141" t="n"/>
      <c r="U25" s="141" t="n"/>
      <c r="V25" s="141" t="n"/>
      <c r="W25" s="152" t="n"/>
    </row>
    <row r="26" ht="18" customHeight="1">
      <c r="A26" s="142" t="n"/>
      <c r="B26" s="153" t="inlineStr">
        <is>
          <t>Humedad</t>
        </is>
      </c>
      <c r="C26" s="154" t="inlineStr">
        <is>
          <t>NEGATIVO</t>
        </is>
      </c>
      <c r="D26" s="154" t="n"/>
      <c r="E26" s="154" t="n"/>
      <c r="F26" s="154" t="n"/>
      <c r="G26" s="154" t="n"/>
      <c r="H26" s="154" t="n"/>
      <c r="I26" s="154" t="n"/>
      <c r="J26" s="154" t="n"/>
      <c r="K26" s="154" t="n"/>
      <c r="L26" s="154" t="n"/>
      <c r="M26" s="149" t="n"/>
      <c r="N26" s="164" t="n"/>
      <c r="O26" s="454" t="n"/>
      <c r="P26" s="290" t="inlineStr">
        <is>
          <t>POSITIVO</t>
        </is>
      </c>
      <c r="Q26" s="437" t="n"/>
      <c r="R26" s="155" t="n"/>
      <c r="S26" s="151" t="n"/>
      <c r="T26" s="141" t="n"/>
      <c r="U26" s="141" t="n"/>
      <c r="V26" s="141" t="n"/>
      <c r="W26" s="152" t="n"/>
      <c r="X26" s="141" t="n"/>
      <c r="Y26" s="141" t="n"/>
      <c r="Z26" s="141" t="n"/>
      <c r="AA26" s="141" t="n"/>
    </row>
    <row r="27" hidden="1" ht="15.75" customHeight="1">
      <c r="A27" s="142" t="n"/>
      <c r="B27" s="153" t="inlineStr">
        <is>
          <t>Glycol,  Abs/cm</t>
        </is>
      </c>
      <c r="C27" s="154" t="n">
        <v>0</v>
      </c>
      <c r="D27" s="154" t="n"/>
      <c r="E27" s="154" t="n"/>
      <c r="F27" s="154" t="n"/>
      <c r="G27" s="154" t="n"/>
      <c r="H27" s="154" t="n"/>
      <c r="I27" s="154" t="n"/>
      <c r="J27" s="154" t="n"/>
      <c r="K27" s="154" t="n"/>
      <c r="L27" s="154" t="n"/>
      <c r="M27" s="149" t="n"/>
      <c r="N27" s="168" t="n"/>
      <c r="O27" s="169" t="n"/>
      <c r="P27" s="168" t="n"/>
      <c r="Q27" s="170" t="n"/>
      <c r="R27" s="155" t="n"/>
      <c r="S27" s="151" t="n"/>
      <c r="T27" s="141" t="n"/>
      <c r="U27" s="141" t="n"/>
      <c r="V27" s="141" t="n"/>
      <c r="W27" s="152" t="n"/>
      <c r="X27" s="141" t="n"/>
      <c r="Y27" s="141" t="n"/>
      <c r="Z27" s="141" t="n"/>
    </row>
    <row r="28" hidden="1" ht="15.75" customFormat="1" customHeight="1" s="173">
      <c r="A28" s="171" t="n"/>
      <c r="B28" s="153" t="inlineStr">
        <is>
          <t>Combustible</t>
        </is>
      </c>
      <c r="C28" s="154" t="inlineStr">
        <is>
          <t>NEGATIVO</t>
        </is>
      </c>
      <c r="D28" s="154" t="n"/>
      <c r="E28" s="154" t="n"/>
      <c r="F28" s="154" t="n"/>
      <c r="G28" s="154" t="n"/>
      <c r="H28" s="154" t="n"/>
      <c r="I28" s="154" t="n"/>
      <c r="J28" s="154" t="n"/>
      <c r="K28" s="154" t="n"/>
      <c r="L28" s="154" t="n"/>
      <c r="M28" s="167" t="n"/>
      <c r="N28" s="164" t="n"/>
      <c r="O28" s="454" t="n"/>
      <c r="P28" s="290" t="inlineStr">
        <is>
          <t>POSITIVO</t>
        </is>
      </c>
      <c r="Q28" s="437" t="n"/>
      <c r="R28" s="172" t="n"/>
      <c r="S28" s="151" t="n"/>
      <c r="T28" s="141" t="n"/>
      <c r="U28" s="141" t="n"/>
      <c r="V28" s="141" t="n"/>
      <c r="W28" s="152" t="n"/>
      <c r="X28" s="141" t="n"/>
      <c r="Y28" s="141" t="n"/>
      <c r="Z28" s="141" t="n"/>
      <c r="AA28" s="141" t="n"/>
    </row>
    <row r="29" ht="18" customHeight="1">
      <c r="A29" s="142" t="n"/>
      <c r="B29" s="158" t="n"/>
      <c r="C29" s="158" t="n"/>
      <c r="D29" s="158" t="n"/>
      <c r="E29" s="158" t="n"/>
      <c r="F29" s="158" t="n"/>
      <c r="G29" s="158" t="n"/>
      <c r="H29" s="158" t="n"/>
      <c r="I29" s="158" t="n"/>
      <c r="J29" s="158" t="n"/>
      <c r="K29" s="158" t="n"/>
      <c r="L29" s="158" t="n"/>
      <c r="N29" s="174" t="n"/>
      <c r="O29" s="175" t="n"/>
      <c r="P29" s="175" t="n"/>
      <c r="Q29" s="175" t="n"/>
      <c r="R29" s="155" t="n"/>
      <c r="S29" s="151" t="n"/>
      <c r="T29" s="141" t="n"/>
      <c r="U29" s="141" t="n"/>
      <c r="V29" s="141" t="n"/>
      <c r="W29" s="152" t="n"/>
    </row>
    <row r="30" ht="18" customHeight="1">
      <c r="A30" s="142" t="n"/>
      <c r="B30" s="275" t="inlineStr">
        <is>
          <t>DEGRADACIÓN QUÍMICA</t>
        </is>
      </c>
      <c r="C30" s="446" t="n"/>
      <c r="D30" s="446" t="n"/>
      <c r="E30" s="446" t="n"/>
      <c r="F30" s="446" t="n"/>
      <c r="G30" s="446" t="n"/>
      <c r="H30" s="446" t="n"/>
      <c r="I30" s="446" t="n"/>
      <c r="J30" s="446" t="n"/>
      <c r="K30" s="446" t="n"/>
      <c r="L30" s="447" t="n"/>
      <c r="N30" s="276" t="inlineStr">
        <is>
          <t>* Rangos Generales</t>
        </is>
      </c>
      <c r="O30" s="436" t="n"/>
      <c r="P30" s="436" t="n"/>
      <c r="Q30" s="437" t="n"/>
      <c r="R30" s="155" t="n"/>
      <c r="S30" s="151" t="n"/>
      <c r="T30" s="141" t="n"/>
      <c r="U30" s="141" t="n"/>
      <c r="V30" s="141" t="n"/>
      <c r="W30" s="152" t="n"/>
    </row>
    <row r="31" ht="18" customHeight="1">
      <c r="A31" s="142" t="n"/>
      <c r="B31" s="448" t="n"/>
      <c r="C31" s="449" t="n"/>
      <c r="D31" s="449" t="n"/>
      <c r="E31" s="449" t="n"/>
      <c r="F31" s="449" t="n"/>
      <c r="G31" s="449" t="n"/>
      <c r="H31" s="449" t="n"/>
      <c r="I31" s="449" t="n"/>
      <c r="J31" s="449" t="n"/>
      <c r="K31" s="449" t="n"/>
      <c r="L31" s="450" t="n"/>
      <c r="M31" s="149" t="n"/>
      <c r="N31" s="276" t="inlineStr">
        <is>
          <t>Precaución</t>
        </is>
      </c>
      <c r="O31" s="437" t="n"/>
      <c r="P31" s="276" t="inlineStr">
        <is>
          <t>Anormal</t>
        </is>
      </c>
      <c r="Q31" s="437" t="n"/>
      <c r="R31" s="155" t="n"/>
      <c r="S31" s="151" t="n"/>
      <c r="T31" s="141" t="n"/>
      <c r="U31" s="141" t="n"/>
      <c r="V31" s="141" t="n"/>
      <c r="W31" s="152" t="n"/>
      <c r="X31" s="286" t="n"/>
      <c r="Y31" s="286" t="n"/>
      <c r="Z31" s="286" t="n"/>
      <c r="AA31" s="286" t="n"/>
      <c r="AB31" s="286" t="n"/>
    </row>
    <row r="32" ht="18" customHeight="1">
      <c r="A32" s="142" t="n"/>
      <c r="B32" s="153" t="inlineStr">
        <is>
          <t>Oxidación, Abs/cm</t>
        </is>
      </c>
      <c r="C32" s="456" t="n">
        <v>0</v>
      </c>
      <c r="D32" s="456" t="n"/>
      <c r="E32" s="456" t="n"/>
      <c r="F32" s="456" t="n"/>
      <c r="G32" s="456" t="n"/>
      <c r="H32" s="456" t="n"/>
      <c r="I32" s="456" t="n"/>
      <c r="J32" s="456" t="n"/>
      <c r="K32" s="456" t="n"/>
      <c r="L32" s="456" t="n"/>
      <c r="M32" s="149" t="n"/>
      <c r="N32" s="164" t="n"/>
      <c r="O32" s="177" t="n"/>
      <c r="P32" s="164" t="n"/>
      <c r="Q32" s="177" t="n"/>
      <c r="R32" s="155" t="n"/>
      <c r="S32" s="151" t="n"/>
      <c r="T32" s="141" t="n"/>
      <c r="U32" s="141" t="n"/>
      <c r="V32" s="141" t="n"/>
      <c r="W32" s="152" t="n"/>
      <c r="X32" s="141" t="n"/>
      <c r="Y32" s="141" t="n"/>
      <c r="Z32" s="141" t="n"/>
    </row>
    <row r="33" hidden="1" ht="15.75" customHeight="1">
      <c r="A33" s="142" t="n"/>
      <c r="B33" s="153" t="inlineStr">
        <is>
          <t>Nitración, Abs/cm</t>
        </is>
      </c>
      <c r="C33" s="423" t="n">
        <v>0</v>
      </c>
      <c r="D33" s="423" t="n"/>
      <c r="E33" s="423" t="n"/>
      <c r="F33" s="423" t="n"/>
      <c r="G33" s="423" t="n"/>
      <c r="H33" s="423" t="n"/>
      <c r="I33" s="423" t="n"/>
      <c r="J33" s="423" t="n"/>
      <c r="K33" s="423" t="n"/>
      <c r="L33" s="423" t="n"/>
      <c r="M33" s="149" t="n"/>
      <c r="N33" s="164" t="n"/>
      <c r="O33" s="177" t="n"/>
      <c r="P33" s="164" t="n"/>
      <c r="Q33" s="177" t="n"/>
      <c r="R33" s="155" t="n"/>
      <c r="S33" s="151" t="n"/>
      <c r="T33" s="141" t="n"/>
      <c r="U33" s="141" t="n"/>
      <c r="V33" s="141" t="n"/>
      <c r="W33" s="152" t="n"/>
    </row>
    <row r="34" hidden="1" ht="15.75" customHeight="1">
      <c r="A34" s="142" t="n"/>
      <c r="B34" s="153" t="inlineStr">
        <is>
          <t>Sulfatación, Abs/cm</t>
        </is>
      </c>
      <c r="C34" s="423" t="n">
        <v>0</v>
      </c>
      <c r="D34" s="423" t="n"/>
      <c r="E34" s="423" t="n"/>
      <c r="F34" s="423" t="n"/>
      <c r="G34" s="423" t="n"/>
      <c r="H34" s="423" t="n"/>
      <c r="I34" s="423" t="n"/>
      <c r="J34" s="423" t="n"/>
      <c r="K34" s="423" t="n"/>
      <c r="L34" s="423" t="n"/>
      <c r="M34" s="149" t="n"/>
      <c r="N34" s="164" t="n"/>
      <c r="O34" s="177" t="n"/>
      <c r="P34" s="164" t="n"/>
      <c r="Q34" s="177" t="n"/>
      <c r="R34" s="155" t="n"/>
      <c r="S34" s="151" t="n"/>
      <c r="T34" s="141" t="n"/>
      <c r="U34" s="141" t="n"/>
      <c r="V34" s="141" t="n"/>
      <c r="W34" s="152" t="n"/>
    </row>
    <row r="35" hidden="1" ht="15.75" customHeight="1">
      <c r="A35" s="142" t="n"/>
      <c r="B35" s="153" t="inlineStr">
        <is>
          <t>Hollín, wt%</t>
        </is>
      </c>
      <c r="C35" s="423" t="n">
        <v>0</v>
      </c>
      <c r="D35" s="423" t="n"/>
      <c r="E35" s="423" t="n"/>
      <c r="F35" s="423" t="n"/>
      <c r="G35" s="423" t="n"/>
      <c r="H35" s="423" t="n"/>
      <c r="I35" s="423" t="n"/>
      <c r="J35" s="423" t="n"/>
      <c r="K35" s="423" t="n"/>
      <c r="L35" s="423" t="n"/>
      <c r="M35" s="149" t="n"/>
      <c r="N35" s="164" t="n"/>
      <c r="O35" s="178" t="n"/>
      <c r="P35" s="164" t="n"/>
      <c r="Q35" s="177" t="n"/>
      <c r="R35" s="155" t="n"/>
      <c r="S35" s="151" t="n"/>
      <c r="T35" s="141" t="n"/>
      <c r="U35" s="141" t="n"/>
      <c r="V35" s="141" t="n"/>
      <c r="W35" s="152" t="n"/>
    </row>
    <row r="36" ht="18" customHeight="1">
      <c r="A36" s="142" t="n"/>
      <c r="B36" s="158" t="n"/>
      <c r="C36" s="158" t="n"/>
      <c r="D36" s="158" t="n"/>
      <c r="E36" s="158" t="n"/>
      <c r="F36" s="158" t="n"/>
      <c r="G36" s="158" t="n"/>
      <c r="H36" s="158" t="n"/>
      <c r="I36" s="158" t="n"/>
      <c r="J36" s="158" t="n"/>
      <c r="K36" s="158" t="n"/>
      <c r="L36" s="158" t="n"/>
      <c r="N36" s="174" t="n"/>
      <c r="O36" s="175" t="n"/>
      <c r="P36" s="175" t="n"/>
      <c r="Q36" s="175" t="n"/>
      <c r="R36" s="155" t="n"/>
      <c r="S36" s="151" t="n"/>
      <c r="T36" s="141" t="n"/>
      <c r="U36" s="141" t="n"/>
      <c r="V36" s="141" t="n"/>
      <c r="W36" s="152" t="n"/>
      <c r="X36" s="141" t="n"/>
      <c r="Y36" s="141" t="n"/>
      <c r="Z36" s="141" t="n"/>
      <c r="AA36" s="141" t="n"/>
    </row>
    <row r="37" ht="18" customHeight="1">
      <c r="A37" s="142" t="n"/>
      <c r="B37" s="275" t="inlineStr">
        <is>
          <t>CONTAMINACIÓN DEL LUBRICANTE - PPM (mg/kg)</t>
        </is>
      </c>
      <c r="C37" s="446" t="n"/>
      <c r="D37" s="446" t="n"/>
      <c r="E37" s="446" t="n"/>
      <c r="F37" s="446" t="n"/>
      <c r="G37" s="446" t="n"/>
      <c r="H37" s="446" t="n"/>
      <c r="I37" s="446" t="n"/>
      <c r="J37" s="446" t="n"/>
      <c r="K37" s="446" t="n"/>
      <c r="L37" s="447" t="n"/>
      <c r="N37" s="276" t="inlineStr">
        <is>
          <t>* Rangos Generales</t>
        </is>
      </c>
      <c r="O37" s="436" t="n"/>
      <c r="P37" s="436" t="n"/>
      <c r="Q37" s="437" t="n"/>
      <c r="R37" s="155" t="n"/>
      <c r="S37" s="151" t="n"/>
      <c r="T37" s="141" t="n"/>
      <c r="U37" s="141" t="n"/>
      <c r="V37" s="141" t="n"/>
      <c r="W37" s="152" t="n"/>
      <c r="X37" s="141" t="n"/>
      <c r="Y37" s="141" t="n"/>
      <c r="Z37" s="141" t="n"/>
      <c r="AA37" s="141" t="n"/>
    </row>
    <row r="38" ht="18" customHeight="1">
      <c r="A38" s="142" t="n"/>
      <c r="B38" s="448" t="n"/>
      <c r="C38" s="449" t="n"/>
      <c r="D38" s="449" t="n"/>
      <c r="E38" s="449" t="n"/>
      <c r="F38" s="449" t="n"/>
      <c r="G38" s="449" t="n"/>
      <c r="H38" s="449" t="n"/>
      <c r="I38" s="449" t="n"/>
      <c r="J38" s="449" t="n"/>
      <c r="K38" s="449" t="n"/>
      <c r="L38" s="450" t="n"/>
      <c r="M38" s="149" t="n"/>
      <c r="N38" s="276" t="inlineStr">
        <is>
          <t>Precaución</t>
        </is>
      </c>
      <c r="O38" s="437" t="n"/>
      <c r="P38" s="276" t="inlineStr">
        <is>
          <t>Anormal</t>
        </is>
      </c>
      <c r="Q38" s="437" t="n"/>
      <c r="R38" s="179" t="n"/>
      <c r="S38" s="151" t="n"/>
      <c r="T38" s="141" t="n"/>
      <c r="U38" s="141" t="n"/>
      <c r="V38" s="141" t="n"/>
      <c r="W38" s="152" t="n"/>
      <c r="X38" s="141" t="n"/>
      <c r="Y38" s="141" t="n"/>
      <c r="Z38" s="141" t="n"/>
      <c r="AA38" s="141" t="n"/>
    </row>
    <row r="39" ht="18" customHeight="1">
      <c r="A39" s="142" t="n"/>
      <c r="B39" s="153" t="inlineStr">
        <is>
          <t>Si (Silicio)</t>
        </is>
      </c>
      <c r="C39" s="154" t="n">
        <v>0</v>
      </c>
      <c r="D39" s="154" t="n"/>
      <c r="E39" s="154" t="n"/>
      <c r="F39" s="154" t="n"/>
      <c r="G39" s="154" t="n"/>
      <c r="H39" s="154" t="n"/>
      <c r="I39" s="154" t="n"/>
      <c r="J39" s="154" t="n"/>
      <c r="K39" s="154" t="n"/>
      <c r="L39" s="154" t="n"/>
      <c r="M39" s="149" t="n"/>
      <c r="N39" s="164" t="n"/>
      <c r="O39" s="177" t="n"/>
      <c r="P39" s="164" t="n"/>
      <c r="Q39" s="177" t="n"/>
      <c r="R39" s="155" t="n"/>
      <c r="S39" s="151" t="n"/>
      <c r="T39" s="141" t="n"/>
      <c r="U39" s="141" t="n"/>
      <c r="V39" s="141" t="n"/>
      <c r="W39" s="152" t="n"/>
      <c r="X39" s="141" t="n"/>
      <c r="Y39" s="141" t="n"/>
      <c r="Z39" s="141" t="n"/>
      <c r="AA39" s="141" t="n"/>
    </row>
    <row r="40" ht="18" customHeight="1">
      <c r="A40" s="142" t="n"/>
      <c r="B40" s="153" t="inlineStr">
        <is>
          <t>Na (Sodio)</t>
        </is>
      </c>
      <c r="C40" s="154" t="n">
        <v>0</v>
      </c>
      <c r="D40" s="154" t="n"/>
      <c r="E40" s="154" t="n"/>
      <c r="F40" s="154" t="n"/>
      <c r="G40" s="154" t="n"/>
      <c r="H40" s="154" t="n"/>
      <c r="I40" s="154" t="n"/>
      <c r="J40" s="154" t="n"/>
      <c r="K40" s="154" t="n"/>
      <c r="L40" s="154" t="n"/>
      <c r="M40" s="149" t="n"/>
      <c r="N40" s="164" t="n"/>
      <c r="O40" s="177" t="n"/>
      <c r="P40" s="164" t="n"/>
      <c r="Q40" s="177" t="n"/>
      <c r="R40" s="155" t="n"/>
      <c r="S40" s="151" t="n"/>
      <c r="T40" s="141" t="n"/>
      <c r="U40" s="141" t="n"/>
      <c r="V40" s="141" t="n"/>
      <c r="W40" s="152" t="n"/>
      <c r="X40" s="141" t="n"/>
      <c r="Y40" s="141" t="n"/>
      <c r="Z40" s="141" t="n"/>
      <c r="AA40" s="141" t="n"/>
    </row>
    <row r="41" ht="18" customHeight="1">
      <c r="A41" s="142" t="n"/>
      <c r="B41" s="153" t="inlineStr">
        <is>
          <t>Vanadio (V)</t>
        </is>
      </c>
      <c r="C41" s="154" t="n">
        <v>0</v>
      </c>
      <c r="D41" s="154" t="n"/>
      <c r="E41" s="154" t="n"/>
      <c r="F41" s="154" t="n"/>
      <c r="G41" s="154" t="n"/>
      <c r="H41" s="154" t="n"/>
      <c r="I41" s="154" t="n"/>
      <c r="J41" s="154" t="n"/>
      <c r="K41" s="154" t="n"/>
      <c r="L41" s="154" t="n"/>
      <c r="M41" s="149" t="n"/>
      <c r="N41" s="164" t="n"/>
      <c r="O41" s="177" t="n"/>
      <c r="P41" s="164" t="n"/>
      <c r="Q41" s="177" t="n"/>
      <c r="R41" s="155" t="n"/>
      <c r="S41" s="151" t="n"/>
      <c r="T41" s="141" t="n"/>
      <c r="U41" s="141" t="n"/>
      <c r="V41" s="141" t="n"/>
      <c r="W41" s="152" t="n"/>
      <c r="X41" s="141" t="n"/>
      <c r="Y41" s="141" t="n"/>
      <c r="Z41" s="141" t="n"/>
      <c r="AA41" s="141" t="n"/>
    </row>
    <row r="42" ht="18" customFormat="1" customHeight="1" s="173">
      <c r="A42" s="171" t="n"/>
      <c r="B42" s="153" t="inlineStr">
        <is>
          <t>Ni (Niquel)</t>
        </is>
      </c>
      <c r="C42" s="154" t="n">
        <v>0</v>
      </c>
      <c r="D42" s="154" t="n"/>
      <c r="E42" s="154" t="n"/>
      <c r="F42" s="154" t="n"/>
      <c r="G42" s="154" t="n"/>
      <c r="H42" s="154" t="n"/>
      <c r="I42" s="154" t="n"/>
      <c r="J42" s="154" t="n"/>
      <c r="K42" s="154" t="n"/>
      <c r="L42" s="154" t="n"/>
      <c r="M42" s="140" t="n"/>
      <c r="N42" s="164" t="n"/>
      <c r="O42" s="178" t="n"/>
      <c r="P42" s="164" t="n"/>
      <c r="Q42" s="178" t="n"/>
      <c r="R42" s="172" t="n"/>
      <c r="S42" s="151" t="n"/>
      <c r="T42" s="141" t="n"/>
      <c r="U42" s="141" t="n"/>
      <c r="V42" s="141" t="n"/>
      <c r="W42" s="152" t="n"/>
      <c r="X42" s="141" t="n"/>
      <c r="Y42" s="141" t="n"/>
      <c r="Z42" s="141" t="n"/>
      <c r="AA42" s="141" t="n"/>
    </row>
    <row r="43" ht="18" customFormat="1" customHeight="1" s="173">
      <c r="A43" s="171" t="n"/>
      <c r="B43" s="158" t="n"/>
      <c r="C43" s="158" t="n"/>
      <c r="D43" s="158" t="n"/>
      <c r="E43" s="158" t="n"/>
      <c r="F43" s="158" t="n"/>
      <c r="G43" s="158" t="n"/>
      <c r="H43" s="158" t="n"/>
      <c r="I43" s="158" t="n"/>
      <c r="J43" s="158" t="n"/>
      <c r="K43" s="158" t="n"/>
      <c r="L43" s="158" t="n"/>
      <c r="M43" s="141" t="n"/>
      <c r="N43" s="180" t="n"/>
      <c r="O43" s="180" t="n"/>
      <c r="P43" s="180" t="n"/>
      <c r="Q43" s="180" t="n"/>
      <c r="R43" s="172" t="n"/>
      <c r="S43" s="151" t="n"/>
      <c r="T43" s="141" t="n"/>
      <c r="U43" s="141" t="n"/>
      <c r="V43" s="141" t="n"/>
      <c r="W43" s="152" t="n"/>
      <c r="X43" s="141" t="n"/>
      <c r="Y43" s="141" t="n"/>
      <c r="Z43" s="141" t="n"/>
      <c r="AA43" s="141" t="n"/>
    </row>
    <row r="44" ht="18" customHeight="1">
      <c r="A44" s="142" t="n"/>
      <c r="B44" s="275" t="inlineStr">
        <is>
          <t>DESGATE DEL EQUIPO  - PPM (mg/kg)</t>
        </is>
      </c>
      <c r="C44" s="446" t="n"/>
      <c r="D44" s="446" t="n"/>
      <c r="E44" s="446" t="n"/>
      <c r="F44" s="446" t="n"/>
      <c r="G44" s="446" t="n"/>
      <c r="H44" s="446" t="n"/>
      <c r="I44" s="446" t="n"/>
      <c r="J44" s="446" t="n"/>
      <c r="K44" s="446" t="n"/>
      <c r="L44" s="447" t="n"/>
      <c r="N44" s="276" t="inlineStr">
        <is>
          <t>* Rangos Generales</t>
        </is>
      </c>
      <c r="O44" s="436" t="n"/>
      <c r="P44" s="436" t="n"/>
      <c r="Q44" s="437" t="n"/>
      <c r="R44" s="155" t="n"/>
      <c r="S44" s="151" t="n"/>
      <c r="T44" s="141" t="n"/>
      <c r="U44" s="141" t="n"/>
      <c r="V44" s="141" t="n"/>
      <c r="W44" s="152" t="n"/>
      <c r="X44" s="141" t="n"/>
      <c r="Y44" s="141" t="n"/>
      <c r="Z44" s="141" t="n"/>
      <c r="AA44" s="141" t="n"/>
    </row>
    <row r="45" ht="18" customHeight="1">
      <c r="A45" s="142" t="n"/>
      <c r="B45" s="448" t="n"/>
      <c r="C45" s="449" t="n"/>
      <c r="D45" s="449" t="n"/>
      <c r="E45" s="449" t="n"/>
      <c r="F45" s="449" t="n"/>
      <c r="G45" s="449" t="n"/>
      <c r="H45" s="449" t="n"/>
      <c r="I45" s="449" t="n"/>
      <c r="J45" s="449" t="n"/>
      <c r="K45" s="449" t="n"/>
      <c r="L45" s="450" t="n"/>
      <c r="M45" s="149" t="n"/>
      <c r="N45" s="276" t="inlineStr">
        <is>
          <t>Precaución</t>
        </is>
      </c>
      <c r="O45" s="437" t="n"/>
      <c r="P45" s="276" t="inlineStr">
        <is>
          <t>Anormal</t>
        </is>
      </c>
      <c r="Q45" s="437" t="n"/>
      <c r="R45" s="181" t="n"/>
      <c r="S45" s="151" t="n"/>
      <c r="T45" s="141" t="n"/>
      <c r="U45" s="141" t="n"/>
      <c r="V45" s="141" t="n"/>
      <c r="W45" s="152" t="n"/>
      <c r="X45" s="141" t="n"/>
      <c r="Y45" s="141" t="n"/>
      <c r="Z45" s="141" t="n"/>
      <c r="AA45" s="141" t="n"/>
    </row>
    <row r="46" ht="18" customHeight="1">
      <c r="A46" s="142" t="n"/>
      <c r="B46" s="153" t="inlineStr">
        <is>
          <t>Fe (Hierro)</t>
        </is>
      </c>
      <c r="C46" s="154" t="n">
        <v>0</v>
      </c>
      <c r="D46" s="154" t="n"/>
      <c r="E46" s="154" t="n"/>
      <c r="F46" s="154" t="n"/>
      <c r="G46" s="154" t="n"/>
      <c r="H46" s="154" t="n"/>
      <c r="I46" s="154" t="n"/>
      <c r="J46" s="154" t="n"/>
      <c r="K46" s="154" t="n"/>
      <c r="L46" s="154" t="n"/>
      <c r="M46" s="149" t="n"/>
      <c r="N46" s="164" t="n"/>
      <c r="O46" s="177" t="n"/>
      <c r="P46" s="164" t="n"/>
      <c r="Q46" s="177" t="n"/>
      <c r="R46" s="155" t="n"/>
      <c r="S46" s="151" t="n"/>
      <c r="T46" s="141" t="n"/>
      <c r="U46" s="141" t="n"/>
      <c r="V46" s="141" t="n"/>
      <c r="W46" s="152" t="n"/>
      <c r="X46" s="141" t="n"/>
      <c r="Y46" s="141" t="n"/>
      <c r="Z46" s="141" t="n"/>
      <c r="AA46" s="141" t="n"/>
    </row>
    <row r="47" ht="18" customHeight="1">
      <c r="A47" s="142" t="n"/>
      <c r="B47" s="153" t="inlineStr">
        <is>
          <t>Cr (Cromo)</t>
        </is>
      </c>
      <c r="C47" s="154" t="n">
        <v>0</v>
      </c>
      <c r="D47" s="154" t="n"/>
      <c r="E47" s="154" t="n"/>
      <c r="F47" s="154" t="n"/>
      <c r="G47" s="154" t="n"/>
      <c r="H47" s="154" t="n"/>
      <c r="I47" s="154" t="n"/>
      <c r="J47" s="154" t="n"/>
      <c r="K47" s="154" t="n"/>
      <c r="L47" s="154" t="n"/>
      <c r="M47" s="149" t="n"/>
      <c r="N47" s="164" t="n"/>
      <c r="O47" s="177" t="n"/>
      <c r="P47" s="164" t="n"/>
      <c r="Q47" s="177" t="n"/>
      <c r="R47" s="155" t="n"/>
      <c r="S47" s="151" t="n"/>
      <c r="T47" s="141" t="n"/>
      <c r="U47" s="141" t="n"/>
      <c r="V47" s="141" t="n"/>
      <c r="W47" s="152" t="n"/>
      <c r="X47" s="141" t="n"/>
      <c r="Y47" s="141" t="n"/>
      <c r="Z47" s="141" t="n"/>
      <c r="AA47" s="141" t="n"/>
    </row>
    <row r="48" ht="18" customHeight="1">
      <c r="A48" s="142" t="n"/>
      <c r="B48" s="153" t="inlineStr">
        <is>
          <t>Al (Aluminio)</t>
        </is>
      </c>
      <c r="C48" s="154" t="n">
        <v>0</v>
      </c>
      <c r="D48" s="154" t="n"/>
      <c r="E48" s="154" t="n"/>
      <c r="F48" s="154" t="n"/>
      <c r="G48" s="154" t="n"/>
      <c r="H48" s="154" t="n"/>
      <c r="I48" s="154" t="n"/>
      <c r="J48" s="154" t="n"/>
      <c r="K48" s="154" t="n"/>
      <c r="L48" s="154" t="n"/>
      <c r="M48" s="149" t="n"/>
      <c r="N48" s="164" t="n"/>
      <c r="O48" s="177" t="n"/>
      <c r="P48" s="164" t="n"/>
      <c r="Q48" s="177" t="n"/>
      <c r="R48" s="155" t="n"/>
      <c r="S48" s="151" t="n"/>
      <c r="T48" s="141" t="n"/>
      <c r="U48" s="141" t="n"/>
      <c r="V48" s="141" t="n"/>
      <c r="W48" s="152" t="n"/>
      <c r="X48" s="141" t="n"/>
      <c r="Y48" s="141" t="n"/>
      <c r="Z48" s="141" t="n"/>
      <c r="AA48" s="141" t="n"/>
    </row>
    <row r="49" ht="18" customHeight="1">
      <c r="A49" s="142" t="n"/>
      <c r="B49" s="153" t="inlineStr">
        <is>
          <t>Cu (Cobre)</t>
        </is>
      </c>
      <c r="C49" s="154" t="n">
        <v>0</v>
      </c>
      <c r="D49" s="154" t="n"/>
      <c r="E49" s="154" t="n"/>
      <c r="F49" s="154" t="n"/>
      <c r="G49" s="154" t="n"/>
      <c r="H49" s="154" t="n"/>
      <c r="I49" s="154" t="n"/>
      <c r="J49" s="154" t="n"/>
      <c r="K49" s="154" t="n"/>
      <c r="L49" s="154" t="n"/>
      <c r="M49" s="167" t="n"/>
      <c r="N49" s="164" t="n"/>
      <c r="O49" s="177" t="n"/>
      <c r="P49" s="164" t="n"/>
      <c r="Q49" s="177" t="n"/>
      <c r="R49" s="155" t="n"/>
      <c r="S49" s="151" t="n"/>
      <c r="T49" s="141" t="n"/>
      <c r="U49" s="141" t="n"/>
      <c r="V49" s="141" t="n"/>
      <c r="W49" s="152" t="n"/>
      <c r="X49" s="141" t="n"/>
      <c r="Y49" s="141" t="n"/>
      <c r="Z49" s="141" t="n"/>
      <c r="AA49" s="141" t="n"/>
    </row>
    <row r="50" ht="18" customHeight="1">
      <c r="A50" s="142" t="n"/>
      <c r="B50" s="153" t="inlineStr">
        <is>
          <t>Pb (Plomo)</t>
        </is>
      </c>
      <c r="C50" s="154" t="n">
        <v>0</v>
      </c>
      <c r="D50" s="154" t="n"/>
      <c r="E50" s="154" t="n"/>
      <c r="F50" s="154" t="n"/>
      <c r="G50" s="154" t="n"/>
      <c r="H50" s="154" t="n"/>
      <c r="I50" s="154" t="n"/>
      <c r="J50" s="154" t="n"/>
      <c r="K50" s="154" t="n"/>
      <c r="L50" s="154" t="n"/>
      <c r="M50" s="149" t="n"/>
      <c r="N50" s="164" t="n"/>
      <c r="O50" s="177" t="n"/>
      <c r="P50" s="164" t="n"/>
      <c r="Q50" s="177" t="n"/>
      <c r="R50" s="155" t="n"/>
      <c r="S50" s="151" t="n"/>
      <c r="T50" s="141" t="n"/>
      <c r="U50" s="141" t="n"/>
      <c r="V50" s="141" t="n"/>
      <c r="W50" s="152" t="n"/>
      <c r="X50" s="141" t="n"/>
      <c r="Y50" s="141" t="n"/>
      <c r="Z50" s="141" t="n"/>
      <c r="AA50" s="141" t="n"/>
    </row>
    <row r="51" ht="18" customFormat="1" customHeight="1" s="173">
      <c r="A51" s="171" t="n"/>
      <c r="B51" s="153" t="inlineStr">
        <is>
          <t>Estaño (Sn)</t>
        </is>
      </c>
      <c r="C51" s="154" t="n">
        <v>0</v>
      </c>
      <c r="D51" s="154" t="n"/>
      <c r="E51" s="154" t="n"/>
      <c r="F51" s="154" t="n"/>
      <c r="G51" s="154" t="n"/>
      <c r="H51" s="154" t="n"/>
      <c r="I51" s="154" t="n"/>
      <c r="J51" s="154" t="n"/>
      <c r="K51" s="154" t="n"/>
      <c r="L51" s="154" t="n"/>
      <c r="M51" s="149" t="n"/>
      <c r="N51" s="164" t="n"/>
      <c r="O51" s="177" t="n"/>
      <c r="P51" s="164" t="n"/>
      <c r="Q51" s="177" t="n"/>
      <c r="R51" s="172" t="n"/>
      <c r="S51" s="151" t="n"/>
      <c r="T51" s="141" t="n"/>
      <c r="U51" s="141" t="n"/>
      <c r="V51" s="141" t="n"/>
      <c r="W51" s="152" t="n"/>
      <c r="X51" s="141" t="n"/>
      <c r="Y51" s="141" t="n"/>
      <c r="Z51" s="141" t="n"/>
    </row>
    <row r="52" ht="18" customHeight="1">
      <c r="A52" s="142" t="n"/>
      <c r="B52" s="158" t="n"/>
      <c r="C52" s="158" t="n"/>
      <c r="D52" s="158" t="n"/>
      <c r="E52" s="158" t="n"/>
      <c r="F52" s="158" t="n"/>
      <c r="G52" s="158" t="n"/>
      <c r="H52" s="158" t="n"/>
      <c r="I52" s="158" t="n"/>
      <c r="J52" s="158" t="n"/>
      <c r="K52" s="158" t="n"/>
      <c r="L52" s="158" t="n"/>
      <c r="N52" s="174" t="n"/>
      <c r="O52" s="182" t="n"/>
      <c r="P52" s="183" t="n"/>
      <c r="Q52" s="183" t="n"/>
      <c r="R52" s="155" t="n"/>
      <c r="S52" s="151" t="n"/>
      <c r="T52" s="141" t="n"/>
      <c r="U52" s="141" t="n"/>
      <c r="V52" s="141" t="n"/>
      <c r="W52" s="152" t="n"/>
      <c r="X52" s="141" t="n"/>
      <c r="Y52" s="141" t="n"/>
      <c r="Z52" s="141" t="n"/>
      <c r="AA52" s="141" t="n"/>
    </row>
    <row r="53" ht="18" customFormat="1" customHeight="1" s="173">
      <c r="A53" s="171" t="n"/>
      <c r="B53" s="275" t="inlineStr">
        <is>
          <t>OTROS ELEMENTOS - PPM (mg/kg)</t>
        </is>
      </c>
      <c r="C53" s="446" t="n"/>
      <c r="D53" s="446" t="n"/>
      <c r="E53" s="446" t="n"/>
      <c r="F53" s="446" t="n"/>
      <c r="G53" s="446" t="n"/>
      <c r="H53" s="446" t="n"/>
      <c r="I53" s="446" t="n"/>
      <c r="J53" s="446" t="n"/>
      <c r="K53" s="446" t="n"/>
      <c r="L53" s="447" t="n"/>
      <c r="M53" s="140" t="n"/>
      <c r="N53" s="276" t="inlineStr">
        <is>
          <t>* Rangos Generales</t>
        </is>
      </c>
      <c r="O53" s="436" t="n"/>
      <c r="P53" s="436" t="n"/>
      <c r="Q53" s="437" t="n"/>
      <c r="R53" s="172" t="n"/>
      <c r="S53" s="151" t="n"/>
      <c r="T53" s="141" t="n"/>
      <c r="U53" s="141" t="n"/>
      <c r="V53" s="141" t="n"/>
      <c r="W53" s="152" t="n"/>
      <c r="X53" s="141" t="n"/>
      <c r="Y53" s="141" t="n"/>
      <c r="Z53" s="141" t="n"/>
      <c r="AA53" s="141" t="n"/>
    </row>
    <row r="54" ht="18" customFormat="1" customHeight="1" s="173">
      <c r="A54" s="171" t="n"/>
      <c r="B54" s="448" t="n"/>
      <c r="C54" s="449" t="n"/>
      <c r="D54" s="449" t="n"/>
      <c r="E54" s="449" t="n"/>
      <c r="F54" s="449" t="n"/>
      <c r="G54" s="449" t="n"/>
      <c r="H54" s="449" t="n"/>
      <c r="I54" s="449" t="n"/>
      <c r="J54" s="449" t="n"/>
      <c r="K54" s="449" t="n"/>
      <c r="L54" s="450" t="n"/>
      <c r="M54" s="149" t="n"/>
      <c r="N54" s="276" t="inlineStr">
        <is>
          <t>Precaución</t>
        </is>
      </c>
      <c r="O54" s="437" t="n"/>
      <c r="P54" s="276" t="inlineStr">
        <is>
          <t>Anormal</t>
        </is>
      </c>
      <c r="Q54" s="437" t="n"/>
      <c r="R54" s="172" t="n"/>
      <c r="S54" s="151" t="n"/>
      <c r="T54" s="141" t="n"/>
      <c r="U54" s="141" t="n"/>
      <c r="V54" s="141" t="n"/>
      <c r="W54" s="152" t="n"/>
      <c r="X54" s="141" t="n"/>
      <c r="Y54" s="141" t="n"/>
      <c r="Z54" s="141" t="n"/>
    </row>
    <row r="55" ht="18" customFormat="1" customHeight="1" s="173">
      <c r="A55" s="171" t="n"/>
      <c r="B55" s="153" t="inlineStr">
        <is>
          <t>Mo (Molibdeno)</t>
        </is>
      </c>
      <c r="C55" s="154" t="n">
        <v>0</v>
      </c>
      <c r="D55" s="154" t="n"/>
      <c r="E55" s="154" t="n"/>
      <c r="F55" s="154" t="n"/>
      <c r="G55" s="154" t="n"/>
      <c r="H55" s="154" t="n"/>
      <c r="I55" s="154" t="n"/>
      <c r="J55" s="154" t="n"/>
      <c r="K55" s="154" t="n"/>
      <c r="L55" s="154" t="n"/>
      <c r="M55" s="149" t="n"/>
      <c r="N55" s="164" t="n"/>
      <c r="O55" s="178" t="n"/>
      <c r="P55" s="164" t="n"/>
      <c r="Q55" s="178" t="n"/>
      <c r="R55" s="172" t="n"/>
      <c r="S55" s="151" t="n"/>
      <c r="T55" s="141" t="n"/>
      <c r="U55" s="141" t="n"/>
      <c r="V55" s="141" t="n"/>
      <c r="W55" s="152" t="n"/>
      <c r="X55" s="141" t="n"/>
      <c r="Y55" s="141" t="n"/>
      <c r="Z55" s="141" t="n"/>
    </row>
    <row r="56" ht="18" customFormat="1" customHeight="1" s="173">
      <c r="A56" s="171" t="n"/>
      <c r="B56" s="153" t="inlineStr">
        <is>
          <t>B (Boro)</t>
        </is>
      </c>
      <c r="C56" s="154" t="n">
        <v>0</v>
      </c>
      <c r="D56" s="154" t="n"/>
      <c r="E56" s="154" t="n"/>
      <c r="F56" s="154" t="n"/>
      <c r="G56" s="154" t="n"/>
      <c r="H56" s="154" t="n"/>
      <c r="I56" s="154" t="n"/>
      <c r="J56" s="154" t="n"/>
      <c r="K56" s="154" t="n"/>
      <c r="L56" s="154" t="n"/>
      <c r="M56" s="149" t="n"/>
      <c r="N56" s="164" t="n"/>
      <c r="O56" s="178" t="n"/>
      <c r="P56" s="164" t="n"/>
      <c r="Q56" s="178" t="n"/>
      <c r="R56" s="172" t="n"/>
      <c r="S56" s="151" t="n"/>
      <c r="T56" s="141" t="n"/>
      <c r="U56" s="141" t="n"/>
      <c r="V56" s="141" t="n"/>
      <c r="W56" s="152" t="n"/>
      <c r="X56" s="141" t="n"/>
      <c r="Y56" s="141" t="n"/>
      <c r="Z56" s="141" t="n"/>
    </row>
    <row r="57" ht="18" customFormat="1" customHeight="1" s="173">
      <c r="A57" s="171" t="n"/>
      <c r="B57" s="153" t="inlineStr">
        <is>
          <t>Ba (Bario)</t>
        </is>
      </c>
      <c r="C57" s="154" t="n">
        <v>0</v>
      </c>
      <c r="D57" s="154" t="n"/>
      <c r="E57" s="154" t="n"/>
      <c r="F57" s="154" t="n"/>
      <c r="G57" s="154" t="n"/>
      <c r="H57" s="154" t="n"/>
      <c r="I57" s="154" t="n"/>
      <c r="J57" s="154" t="n"/>
      <c r="K57" s="154" t="n"/>
      <c r="L57" s="154" t="n"/>
      <c r="M57" s="149" t="n"/>
      <c r="N57" s="164" t="n"/>
      <c r="O57" s="178" t="n"/>
      <c r="P57" s="164" t="n"/>
      <c r="Q57" s="178" t="n"/>
      <c r="R57" s="172" t="n"/>
      <c r="S57" s="151" t="n"/>
      <c r="T57" s="141" t="n"/>
      <c r="U57" s="141" t="n"/>
      <c r="V57" s="141" t="n"/>
      <c r="W57" s="152" t="n"/>
      <c r="X57" s="141" t="n"/>
      <c r="Y57" s="141" t="n"/>
      <c r="Z57" s="141" t="n"/>
    </row>
    <row r="58" ht="18" customFormat="1" customHeight="1" s="173">
      <c r="A58" s="171" t="n"/>
      <c r="B58" s="153" t="inlineStr">
        <is>
          <t>Ti (Titaniao)</t>
        </is>
      </c>
      <c r="C58" s="154" t="n">
        <v>0</v>
      </c>
      <c r="D58" s="154" t="n"/>
      <c r="E58" s="154" t="n"/>
      <c r="F58" s="154" t="n"/>
      <c r="G58" s="154" t="n"/>
      <c r="H58" s="154" t="n"/>
      <c r="I58" s="154" t="n"/>
      <c r="J58" s="154" t="n"/>
      <c r="K58" s="154" t="n"/>
      <c r="L58" s="154" t="n"/>
      <c r="M58" s="140" t="n"/>
      <c r="N58" s="164" t="n"/>
      <c r="O58" s="178" t="n"/>
      <c r="P58" s="164" t="n"/>
      <c r="Q58" s="178" t="n"/>
      <c r="R58" s="172" t="n"/>
      <c r="S58" s="151" t="n"/>
      <c r="T58" s="141" t="n"/>
      <c r="U58" s="141" t="n"/>
      <c r="V58" s="141" t="n"/>
      <c r="W58" s="152" t="n"/>
      <c r="X58" s="141" t="n"/>
      <c r="Y58" s="141" t="n"/>
      <c r="Z58" s="141" t="n"/>
      <c r="AA58" s="141" t="n"/>
    </row>
    <row r="59" ht="18" customFormat="1" customHeight="1" s="173">
      <c r="A59" s="171" t="n"/>
      <c r="B59" s="153" t="inlineStr">
        <is>
          <t>Ag (Plata)</t>
        </is>
      </c>
      <c r="C59" s="154" t="n">
        <v>0</v>
      </c>
      <c r="D59" s="154" t="n"/>
      <c r="E59" s="154" t="n"/>
      <c r="F59" s="154" t="n"/>
      <c r="G59" s="154" t="n"/>
      <c r="H59" s="154" t="n"/>
      <c r="I59" s="154" t="n"/>
      <c r="J59" s="154" t="n"/>
      <c r="K59" s="154" t="n"/>
      <c r="L59" s="154" t="n"/>
      <c r="M59" s="149" t="n"/>
      <c r="N59" s="164" t="n"/>
      <c r="O59" s="178" t="n"/>
      <c r="P59" s="164" t="n"/>
      <c r="Q59" s="178" t="n"/>
      <c r="R59" s="172" t="n"/>
      <c r="S59" s="151" t="n"/>
      <c r="T59" s="141" t="n"/>
      <c r="U59" s="141" t="n"/>
      <c r="V59" s="141" t="n"/>
      <c r="W59" s="152" t="n"/>
      <c r="X59" s="141" t="n"/>
      <c r="Y59" s="141" t="n"/>
      <c r="Z59" s="141" t="n"/>
      <c r="AA59" s="141" t="n"/>
    </row>
    <row r="60" ht="18" customFormat="1" customHeight="1" s="173">
      <c r="A60" s="171" t="n"/>
      <c r="B60" s="158" t="n"/>
      <c r="C60" s="158" t="n"/>
      <c r="D60" s="158" t="n"/>
      <c r="E60" s="158" t="n"/>
      <c r="F60" s="158" t="n"/>
      <c r="G60" s="158" t="n"/>
      <c r="H60" s="158" t="n"/>
      <c r="I60" s="158" t="n"/>
      <c r="J60" s="158" t="n"/>
      <c r="K60" s="158" t="n"/>
      <c r="L60" s="158" t="n"/>
      <c r="M60" s="141" t="n"/>
      <c r="N60" s="141" t="n"/>
      <c r="O60" s="141" t="n"/>
      <c r="P60" s="141" t="n"/>
      <c r="Q60" s="141" t="n"/>
      <c r="R60" s="172" t="n"/>
      <c r="S60" s="151" t="n"/>
      <c r="T60" s="141" t="n"/>
      <c r="U60" s="141" t="n"/>
      <c r="V60" s="141" t="n"/>
      <c r="W60" s="152" t="n"/>
      <c r="X60" s="141" t="n"/>
      <c r="Y60" s="141" t="n"/>
      <c r="Z60" s="141" t="n"/>
      <c r="AA60" s="141" t="n"/>
    </row>
    <row r="61" ht="18" customFormat="1" customHeight="1" s="173">
      <c r="A61" s="171" t="n"/>
      <c r="B61" s="275" t="inlineStr">
        <is>
          <t>PRESENCIA DE ADITIVOS - PPM (mg/kg)</t>
        </is>
      </c>
      <c r="C61" s="446" t="n"/>
      <c r="D61" s="446" t="n"/>
      <c r="E61" s="446" t="n"/>
      <c r="F61" s="446" t="n"/>
      <c r="G61" s="446" t="n"/>
      <c r="H61" s="446" t="n"/>
      <c r="I61" s="446" t="n"/>
      <c r="J61" s="446" t="n"/>
      <c r="K61" s="446" t="n"/>
      <c r="L61" s="447" t="n"/>
      <c r="M61" s="141" t="n"/>
      <c r="N61" s="141" t="n"/>
      <c r="O61" s="141" t="n"/>
      <c r="P61" s="141" t="n"/>
      <c r="Q61" s="141" t="n"/>
      <c r="R61" s="172" t="n"/>
      <c r="S61" s="151" t="n"/>
      <c r="T61" s="141" t="n"/>
      <c r="U61" s="141" t="n"/>
      <c r="V61" s="141" t="n"/>
      <c r="W61" s="152" t="n"/>
      <c r="X61" s="141" t="n"/>
      <c r="Y61" s="141" t="n"/>
      <c r="Z61" s="141" t="n"/>
      <c r="AA61" s="141" t="n"/>
    </row>
    <row r="62" ht="18" customHeight="1">
      <c r="A62" s="142" t="n"/>
      <c r="B62" s="448" t="n"/>
      <c r="C62" s="449" t="n"/>
      <c r="D62" s="449" t="n"/>
      <c r="E62" s="449" t="n"/>
      <c r="F62" s="449" t="n"/>
      <c r="G62" s="449" t="n"/>
      <c r="H62" s="449" t="n"/>
      <c r="I62" s="449" t="n"/>
      <c r="J62" s="449" t="n"/>
      <c r="K62" s="449" t="n"/>
      <c r="L62" s="450" t="n"/>
      <c r="M62" s="141" t="n"/>
      <c r="N62" s="141" t="n"/>
      <c r="O62" s="141" t="n"/>
      <c r="P62" s="141" t="n"/>
      <c r="Q62" s="141" t="n"/>
      <c r="R62" s="155" t="n"/>
      <c r="S62" s="151" t="n"/>
      <c r="T62" s="141" t="n"/>
      <c r="U62" s="141" t="n"/>
      <c r="V62" s="141" t="n"/>
      <c r="W62" s="152" t="n"/>
      <c r="X62" s="141" t="n"/>
      <c r="Y62" s="141" t="n"/>
      <c r="Z62" s="141" t="n"/>
      <c r="AA62" s="141" t="n"/>
    </row>
    <row r="63" ht="18" customHeight="1">
      <c r="A63" s="142" t="n"/>
      <c r="B63" s="153" t="inlineStr">
        <is>
          <t>Ca (Calcio)</t>
        </is>
      </c>
      <c r="C63" s="154" t="n">
        <v>0</v>
      </c>
      <c r="D63" s="154" t="n"/>
      <c r="E63" s="154" t="n"/>
      <c r="F63" s="154" t="n"/>
      <c r="G63" s="154" t="n"/>
      <c r="H63" s="154" t="n"/>
      <c r="I63" s="154" t="n"/>
      <c r="J63" s="154" t="n"/>
      <c r="K63" s="154" t="n"/>
      <c r="L63" s="154" t="n"/>
      <c r="M63" s="141" t="n"/>
      <c r="N63" s="141" t="n"/>
      <c r="O63" s="141" t="n"/>
      <c r="P63" s="141" t="n"/>
      <c r="Q63" s="141" t="n"/>
      <c r="R63" s="155" t="n"/>
      <c r="S63" s="151" t="n"/>
      <c r="T63" s="141" t="n"/>
      <c r="U63" s="141" t="n"/>
      <c r="V63" s="141" t="n"/>
      <c r="W63" s="152" t="n"/>
      <c r="X63" s="141" t="n"/>
      <c r="Y63" s="141" t="n"/>
      <c r="Z63" s="141" t="n"/>
      <c r="AA63" s="141" t="n"/>
    </row>
    <row r="64" ht="18" customHeight="1">
      <c r="A64" s="142" t="n"/>
      <c r="B64" s="153" t="inlineStr">
        <is>
          <t>Mg (Magnesio)</t>
        </is>
      </c>
      <c r="C64" s="154" t="n">
        <v>0</v>
      </c>
      <c r="D64" s="154" t="n"/>
      <c r="E64" s="154" t="n"/>
      <c r="F64" s="154" t="n"/>
      <c r="G64" s="154" t="n"/>
      <c r="H64" s="154" t="n"/>
      <c r="I64" s="154" t="n"/>
      <c r="J64" s="154" t="n"/>
      <c r="K64" s="154" t="n"/>
      <c r="L64" s="154" t="n"/>
      <c r="M64" s="141" t="n"/>
      <c r="N64" s="141" t="n"/>
      <c r="O64" s="141" t="n"/>
      <c r="P64" s="141" t="n"/>
      <c r="Q64" s="141" t="n"/>
      <c r="R64" s="155" t="n"/>
      <c r="S64" s="151" t="n"/>
      <c r="T64" s="141" t="n"/>
      <c r="U64" s="141" t="n"/>
      <c r="V64" s="141" t="n"/>
      <c r="W64" s="152" t="n"/>
      <c r="X64" s="141" t="n"/>
      <c r="Y64" s="141" t="n"/>
      <c r="Z64" s="141" t="n"/>
      <c r="AA64" s="141" t="n"/>
    </row>
    <row r="65" ht="18" customHeight="1">
      <c r="A65" s="142" t="n"/>
      <c r="B65" s="153" t="inlineStr">
        <is>
          <t>Zn (Zinc)</t>
        </is>
      </c>
      <c r="C65" s="154" t="n">
        <v>0</v>
      </c>
      <c r="D65" s="154" t="n"/>
      <c r="E65" s="154" t="n"/>
      <c r="F65" s="154" t="n"/>
      <c r="G65" s="154" t="n"/>
      <c r="H65" s="154" t="n"/>
      <c r="I65" s="154" t="n"/>
      <c r="J65" s="154" t="n"/>
      <c r="K65" s="154" t="n"/>
      <c r="L65" s="154" t="n"/>
      <c r="M65" s="141" t="n"/>
      <c r="N65" s="141" t="n"/>
      <c r="O65" s="141" t="n"/>
      <c r="P65" s="141" t="n"/>
      <c r="Q65" s="141" t="n"/>
      <c r="R65" s="155" t="n"/>
      <c r="S65" s="151" t="n"/>
      <c r="T65" s="141" t="n"/>
      <c r="U65" s="141" t="n"/>
      <c r="V65" s="141" t="n"/>
      <c r="W65" s="152" t="n"/>
      <c r="X65" s="141" t="n"/>
      <c r="Y65" s="141" t="n"/>
      <c r="Z65" s="141" t="n"/>
      <c r="AA65" s="141" t="n"/>
    </row>
    <row r="66" ht="18" customHeight="1">
      <c r="A66" s="142" t="n"/>
      <c r="B66" s="153" t="inlineStr">
        <is>
          <t>P (Fosforo)</t>
        </is>
      </c>
      <c r="C66" s="154" t="n">
        <v>0</v>
      </c>
      <c r="D66" s="154" t="n"/>
      <c r="E66" s="154" t="n"/>
      <c r="F66" s="154" t="n"/>
      <c r="G66" s="154" t="n"/>
      <c r="H66" s="154" t="n"/>
      <c r="I66" s="154" t="n"/>
      <c r="J66" s="154" t="n"/>
      <c r="K66" s="154" t="n"/>
      <c r="L66" s="154" t="n"/>
      <c r="M66" s="141" t="n"/>
      <c r="N66" s="141" t="n"/>
      <c r="O66" s="141" t="n"/>
      <c r="P66" s="141" t="n"/>
      <c r="Q66" s="141" t="n"/>
      <c r="R66" s="155" t="n"/>
      <c r="S66" s="151" t="n"/>
      <c r="T66" s="141" t="n"/>
      <c r="U66" s="141" t="n"/>
      <c r="V66" s="141" t="n"/>
      <c r="W66" s="152" t="n"/>
      <c r="X66" s="141" t="n"/>
      <c r="Y66" s="141" t="n"/>
      <c r="Z66" s="141" t="n"/>
      <c r="AA66" s="141" t="n"/>
    </row>
    <row r="67" ht="18" customHeight="1" thickBot="1">
      <c r="A67" s="184" t="n"/>
      <c r="B67" s="185" t="n"/>
      <c r="C67" s="185" t="n"/>
      <c r="D67" s="185" t="n"/>
      <c r="E67" s="185" t="n"/>
      <c r="F67" s="185" t="n"/>
      <c r="G67" s="185" t="n"/>
      <c r="H67" s="185" t="n"/>
      <c r="I67" s="185" t="n"/>
      <c r="J67" s="185" t="n"/>
      <c r="K67" s="185" t="n"/>
      <c r="L67" s="185" t="n"/>
      <c r="M67" s="186" t="n"/>
      <c r="N67" s="186" t="n"/>
      <c r="O67" s="187" t="n"/>
      <c r="P67" s="187" t="n"/>
      <c r="Q67" s="187" t="n"/>
      <c r="R67" s="188" t="n"/>
      <c r="S67" s="151" t="n"/>
      <c r="T67" s="141" t="n"/>
      <c r="U67" s="141" t="n"/>
      <c r="V67" s="141" t="n"/>
      <c r="W67" s="152" t="n"/>
      <c r="X67" s="141" t="n"/>
      <c r="Y67" s="141" t="n"/>
      <c r="Z67" s="141" t="n"/>
      <c r="AA67" s="141" t="n"/>
    </row>
    <row r="68" ht="15" customHeight="1">
      <c r="A68" s="189" t="n"/>
      <c r="B68" s="190" t="n"/>
      <c r="C68" s="190" t="n"/>
      <c r="D68" s="190" t="n"/>
      <c r="E68" s="190" t="n"/>
      <c r="F68" s="190" t="n"/>
      <c r="G68" s="190" t="n"/>
      <c r="H68" s="190" t="n"/>
      <c r="I68" s="190" t="n"/>
      <c r="J68" s="190" t="n"/>
      <c r="K68" s="190" t="n"/>
      <c r="L68" s="190" t="n"/>
      <c r="M68" s="190" t="n"/>
      <c r="N68" s="190" t="n"/>
      <c r="O68" s="190" t="n"/>
      <c r="P68" s="190" t="n"/>
      <c r="Q68" s="190" t="n"/>
      <c r="R68" s="190" t="n"/>
      <c r="S68" s="190" t="n"/>
      <c r="T68" s="190" t="n"/>
      <c r="U68" s="190" t="n"/>
      <c r="V68" s="190" t="n"/>
      <c r="W68" s="191" t="n"/>
      <c r="X68" s="141" t="n"/>
      <c r="Y68" s="141" t="n"/>
      <c r="Z68" s="141" t="n"/>
      <c r="AA68" s="141" t="n"/>
    </row>
    <row r="69" ht="15" customHeight="1">
      <c r="A69" s="142" t="n"/>
      <c r="B69" s="149" t="inlineStr">
        <is>
          <t>ELABORADO POR:</t>
        </is>
      </c>
      <c r="D69" s="149" t="inlineStr">
        <is>
          <t>REVISADO POR:</t>
        </is>
      </c>
      <c r="E69" s="149" t="n"/>
      <c r="F69" s="149" t="n"/>
      <c r="W69" s="155" t="n"/>
      <c r="X69" s="141" t="n"/>
      <c r="Y69" s="141" t="n"/>
      <c r="Z69" s="141" t="n"/>
      <c r="AA69" s="141" t="n"/>
    </row>
    <row r="70" ht="42" customHeight="1">
      <c r="A70" s="142" t="n"/>
      <c r="G70" s="141" t="n"/>
      <c r="H70" s="141" t="n"/>
      <c r="I70" s="141" t="n"/>
      <c r="J70" s="141" t="n"/>
      <c r="K70" s="141" t="n"/>
      <c r="L70" s="141" t="n"/>
      <c r="W70" s="155" t="n"/>
      <c r="X70" s="141" t="n"/>
      <c r="Y70" s="141" t="n"/>
      <c r="Z70" s="141" t="n"/>
      <c r="AA70" s="141" t="n"/>
    </row>
    <row r="71" ht="41.25" customHeight="1" thickBot="1">
      <c r="A71" s="142" t="n"/>
      <c r="B71" s="192" t="n"/>
      <c r="D71" s="192" t="n"/>
      <c r="E71" s="192" t="n"/>
      <c r="F71" s="192" t="n"/>
      <c r="G71" s="141" t="n"/>
      <c r="H71" s="141" t="n"/>
      <c r="I71" s="141" t="n"/>
      <c r="J71" s="141" t="n"/>
      <c r="K71" s="141" t="n"/>
      <c r="L71" s="141" t="n"/>
      <c r="W71" s="155" t="n"/>
      <c r="X71" s="141" t="n"/>
      <c r="Y71" s="141" t="n"/>
      <c r="Z71" s="141" t="n"/>
      <c r="AA71" s="141" t="n"/>
    </row>
    <row r="72" ht="15" customHeight="1">
      <c r="A72" s="142" t="n"/>
      <c r="B72" s="149" t="inlineStr">
        <is>
          <t>Analista Autorizado</t>
        </is>
      </c>
      <c r="D72" s="149" t="inlineStr">
        <is>
          <t>Jefe de Servicio Post Venta</t>
        </is>
      </c>
      <c r="E72" s="149" t="n"/>
      <c r="F72" s="149" t="n"/>
      <c r="W72" s="155" t="n"/>
      <c r="X72" s="141" t="n"/>
      <c r="Y72" s="141" t="n"/>
      <c r="Z72" s="141" t="n"/>
      <c r="AA72" s="141" t="n"/>
    </row>
    <row r="73" ht="15" customHeight="1">
      <c r="A73" s="142" t="n"/>
      <c r="B73" s="149" t="inlineStr">
        <is>
          <t>Dpto. Laboratorio</t>
        </is>
      </c>
      <c r="D73" s="149" t="inlineStr">
        <is>
          <t>Dpto. Técnico y Laboratorio</t>
        </is>
      </c>
      <c r="E73" s="149" t="n"/>
      <c r="F73" s="149" t="n"/>
      <c r="W73" s="155" t="n"/>
      <c r="X73" s="141" t="n"/>
      <c r="Y73" s="141" t="n"/>
      <c r="Z73" s="141" t="n"/>
      <c r="AA73" s="141" t="n"/>
    </row>
    <row r="74" ht="12.75" customHeight="1" thickBot="1">
      <c r="A74" s="184" t="n"/>
      <c r="B74" s="193" t="inlineStr">
        <is>
          <t>Lubricantes Internacionales S.A.</t>
        </is>
      </c>
      <c r="C74" s="192" t="n"/>
      <c r="D74" s="193" t="inlineStr">
        <is>
          <t>Lubricantes Internacionales S.A.</t>
        </is>
      </c>
      <c r="E74" s="193" t="n"/>
      <c r="F74" s="193" t="n"/>
      <c r="G74" s="192" t="n"/>
      <c r="H74" s="192" t="n"/>
      <c r="I74" s="192" t="n"/>
      <c r="J74" s="192" t="n"/>
      <c r="K74" s="192" t="n"/>
      <c r="L74" s="192" t="n"/>
      <c r="M74" s="192" t="n"/>
      <c r="N74" s="192" t="n"/>
      <c r="O74" s="192" t="n"/>
      <c r="P74" s="192" t="n"/>
      <c r="Q74" s="192" t="n"/>
      <c r="R74" s="192" t="n"/>
      <c r="S74" s="192" t="n"/>
      <c r="T74" s="192" t="n"/>
      <c r="U74" s="192" t="n"/>
      <c r="V74" s="192" t="n"/>
      <c r="W74" s="188" t="n"/>
    </row>
    <row r="75" ht="15.75" customHeight="1" thickBot="1">
      <c r="A75" s="184" t="n"/>
      <c r="B75" s="194" t="inlineStr">
        <is>
          <t>VEN-FOR-006G  VERSION:1 FECHA 2021-SEPT-14</t>
        </is>
      </c>
      <c r="C75" s="192" t="n"/>
      <c r="D75" s="192" t="n"/>
      <c r="E75" s="192" t="n"/>
      <c r="F75" s="192" t="n"/>
      <c r="G75" s="192" t="n"/>
      <c r="H75" s="192" t="n"/>
      <c r="I75" s="192" t="n"/>
      <c r="J75" s="192" t="n"/>
      <c r="K75" s="192" t="n"/>
      <c r="L75" s="192" t="n"/>
      <c r="M75" s="192" t="n"/>
      <c r="N75" s="192" t="n"/>
      <c r="O75" s="192" t="n"/>
      <c r="P75" s="192" t="n"/>
      <c r="Q75" s="192" t="n"/>
      <c r="R75" s="192" t="n"/>
      <c r="S75" s="192" t="n"/>
      <c r="T75" s="192" t="n"/>
      <c r="U75" s="192" t="n"/>
      <c r="V75" s="192" t="n"/>
      <c r="W75" s="192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NJk20SNgHkXu1g9snifMSA==" formatRows="1" sort="1" spinCount="100000" hashValue="hT1HnA8knaxa4J26gQwKuA3Xz+1qU17wxcnt8ky/1NcHfqS1yS2SuUAPyzCVItenO0k++upg/v/XTSLKt8+ZqQ=="/>
  <mergeCells count="47">
    <mergeCell ref="P26:Q26"/>
    <mergeCell ref="H3:K3"/>
    <mergeCell ref="P38:Q38"/>
    <mergeCell ref="N54:O54"/>
    <mergeCell ref="C2:G3"/>
    <mergeCell ref="B37:L38"/>
    <mergeCell ref="B10:L11"/>
    <mergeCell ref="N30:Q30"/>
    <mergeCell ref="L6:R6"/>
    <mergeCell ref="P31:Q31"/>
    <mergeCell ref="B44:L45"/>
    <mergeCell ref="B53:L54"/>
    <mergeCell ref="H5:K5"/>
    <mergeCell ref="A1:W1"/>
    <mergeCell ref="N21:O21"/>
    <mergeCell ref="C4:G8"/>
    <mergeCell ref="S2:W2"/>
    <mergeCell ref="P21:Q21"/>
    <mergeCell ref="H8:K8"/>
    <mergeCell ref="L2:R2"/>
    <mergeCell ref="N20:Q20"/>
    <mergeCell ref="B20:L21"/>
    <mergeCell ref="L7:R7"/>
    <mergeCell ref="S5:W8"/>
    <mergeCell ref="N25:Q25"/>
    <mergeCell ref="B30:L31"/>
    <mergeCell ref="H4:K4"/>
    <mergeCell ref="N37:Q37"/>
    <mergeCell ref="N53:Q53"/>
    <mergeCell ref="N38:O38"/>
    <mergeCell ref="L3:R3"/>
    <mergeCell ref="S3:W4"/>
    <mergeCell ref="H6:K6"/>
    <mergeCell ref="P28:Q28"/>
    <mergeCell ref="N31:O31"/>
    <mergeCell ref="B9:O9"/>
    <mergeCell ref="L5:R5"/>
    <mergeCell ref="A2:B8"/>
    <mergeCell ref="B61:L62"/>
    <mergeCell ref="L8:R8"/>
    <mergeCell ref="L4:R4"/>
    <mergeCell ref="H2:K2"/>
    <mergeCell ref="N44:Q44"/>
    <mergeCell ref="H7:K7"/>
    <mergeCell ref="N45:O45"/>
    <mergeCell ref="P45:Q45"/>
    <mergeCell ref="P54:Q54"/>
  </mergeCells>
  <conditionalFormatting sqref="C22">
    <cfRule type="cellIs" priority="32" operator="greaterThan" dxfId="0" stopIfTrue="1">
      <formula>$Q$22</formula>
    </cfRule>
    <cfRule type="cellIs" priority="31" operator="lessThan" dxfId="0" stopIfTrue="1">
      <formula>$O$22</formula>
    </cfRule>
  </conditionalFormatting>
  <conditionalFormatting sqref="C23">
    <cfRule type="cellIs" priority="29" operator="lessThan" dxfId="0" stopIfTrue="1">
      <formula>$O$23</formula>
    </cfRule>
    <cfRule type="cellIs" priority="30" operator="greaterThan" dxfId="0" stopIfTrue="1">
      <formula>$Q$23</formula>
    </cfRule>
  </conditionalFormatting>
  <conditionalFormatting sqref="C18:L18">
    <cfRule type="containsText" priority="22" operator="containsText" dxfId="2" stopIfTrue="1" text="ANORMAL">
      <formula>NOT(ISERROR(SEARCH("ANORMAL",C18)))</formula>
    </cfRule>
    <cfRule type="containsText" priority="23" operator="containsText" dxfId="3" stopIfTrue="1" text="N/D">
      <formula>NOT(ISERROR(SEARCH("N/D",C18)))</formula>
    </cfRule>
    <cfRule type="containsText" priority="24" operator="containsText" dxfId="0" stopIfTrue="1" text="PRECAUCIÓN">
      <formula>NOT(ISERROR(SEARCH("PRECAUCIÓN",C18)))</formula>
    </cfRule>
    <cfRule type="containsText" priority="25" operator="containsText" dxfId="1" stopIfTrue="1" text="NORMAL">
      <formula>NOT(ISERROR(SEARCH("NORMAL",C18)))</formula>
    </cfRule>
  </conditionalFormatting>
  <conditionalFormatting sqref="C26:L26">
    <cfRule type="cellIs" priority="8" operator="equal" dxfId="2" stopIfTrue="1">
      <formula>"POSITIVO"</formula>
    </cfRule>
  </conditionalFormatting>
  <conditionalFormatting sqref="C27:L27">
    <cfRule type="cellIs" priority="11" operator="greaterThanOrEqual" dxfId="2" stopIfTrue="1">
      <formula>$Q$27</formula>
    </cfRule>
  </conditionalFormatting>
  <conditionalFormatting sqref="C28:L28">
    <cfRule type="cellIs" priority="7" operator="equal" dxfId="2" stopIfTrue="1">
      <formula>"POSITIVO"</formula>
    </cfRule>
  </conditionalFormatting>
  <conditionalFormatting sqref="C32:L32">
    <cfRule type="cellIs" priority="53" operator="greaterThanOrEqual" dxfId="2" stopIfTrue="1">
      <formula>$Q$32</formula>
    </cfRule>
    <cfRule type="cellIs" priority="54" operator="between" dxfId="0" stopIfTrue="1">
      <formula>$O$32</formula>
      <formula>$Q$32</formula>
    </cfRule>
  </conditionalFormatting>
  <conditionalFormatting sqref="C33:L33">
    <cfRule type="cellIs" priority="3" operator="greaterThanOrEqual" dxfId="2" stopIfTrue="1">
      <formula>$Q$33</formula>
    </cfRule>
    <cfRule type="cellIs" priority="4" operator="between" dxfId="0" stopIfTrue="1">
      <formula>$O$33</formula>
      <formula>$Q$33</formula>
    </cfRule>
  </conditionalFormatting>
  <conditionalFormatting sqref="C34:L34">
    <cfRule type="cellIs" priority="5" operator="greaterThanOrEqual" dxfId="2" stopIfTrue="1">
      <formula>$Q$34</formula>
    </cfRule>
    <cfRule type="cellIs" priority="6" operator="between" dxfId="0" stopIfTrue="1">
      <formula>$O$34</formula>
      <formula>$Q$34</formula>
    </cfRule>
  </conditionalFormatting>
  <conditionalFormatting sqref="C35:L35">
    <cfRule type="cellIs" priority="2" operator="between" dxfId="0" stopIfTrue="1">
      <formula>$O$35</formula>
      <formula>$Q$35</formula>
    </cfRule>
    <cfRule type="cellIs" priority="1" operator="greaterThanOrEqual" dxfId="2" stopIfTrue="1">
      <formula>$Q$35</formula>
    </cfRule>
  </conditionalFormatting>
  <conditionalFormatting sqref="C39:L39">
    <cfRule type="cellIs" priority="40" operator="greaterThanOrEqual" dxfId="2" stopIfTrue="1">
      <formula>$Q$39</formula>
    </cfRule>
    <cfRule type="cellIs" priority="41" operator="between" dxfId="0" stopIfTrue="1">
      <formula>$O$39</formula>
      <formula>$Q$39</formula>
    </cfRule>
  </conditionalFormatting>
  <conditionalFormatting sqref="C40:L40">
    <cfRule type="cellIs" priority="38" operator="greaterThanOrEqual" dxfId="2" stopIfTrue="1">
      <formula>$Q$40</formula>
    </cfRule>
    <cfRule type="cellIs" priority="39" operator="between" dxfId="0" stopIfTrue="1">
      <formula>$O$40</formula>
      <formula>$Q$40</formula>
    </cfRule>
  </conditionalFormatting>
  <conditionalFormatting sqref="C41:L41">
    <cfRule type="cellIs" priority="16" operator="greaterThanOrEqual" dxfId="2" stopIfTrue="1">
      <formula>$Q$41</formula>
    </cfRule>
    <cfRule type="cellIs" priority="17" operator="between" dxfId="0" stopIfTrue="1">
      <formula>$O$41</formula>
      <formula>$Q$41</formula>
    </cfRule>
  </conditionalFormatting>
  <conditionalFormatting sqref="C42:L42">
    <cfRule type="cellIs" priority="14" operator="greaterThanOrEqual" dxfId="2" stopIfTrue="1">
      <formula>$Q$42</formula>
    </cfRule>
    <cfRule type="cellIs" priority="15" operator="between" dxfId="0" stopIfTrue="1">
      <formula>$O$42</formula>
      <formula>$Q$42</formula>
    </cfRule>
  </conditionalFormatting>
  <conditionalFormatting sqref="C46:L46">
    <cfRule type="cellIs" priority="12" operator="greaterThanOrEqual" dxfId="2" stopIfTrue="1">
      <formula>$Q$46</formula>
    </cfRule>
    <cfRule type="cellIs" priority="13" operator="between" dxfId="0" stopIfTrue="1">
      <formula>$O$46</formula>
      <formula>$Q$46</formula>
    </cfRule>
  </conditionalFormatting>
  <conditionalFormatting sqref="C47:L47">
    <cfRule type="cellIs" priority="49" operator="between" dxfId="0" stopIfTrue="1">
      <formula>$O$47</formula>
      <formula>$Q$47</formula>
    </cfRule>
    <cfRule type="cellIs" priority="48" operator="greaterThanOrEqual" dxfId="2" stopIfTrue="1">
      <formula>$Q$47</formula>
    </cfRule>
  </conditionalFormatting>
  <conditionalFormatting sqref="C48:L48">
    <cfRule type="cellIs" priority="50" operator="greaterThanOrEqual" dxfId="2" stopIfTrue="1">
      <formula>$Q$48</formula>
    </cfRule>
    <cfRule type="cellIs" priority="51" operator="between" dxfId="0" stopIfTrue="1">
      <formula>$O$48</formula>
      <formula>$Q$48</formula>
    </cfRule>
  </conditionalFormatting>
  <conditionalFormatting sqref="C49:L49">
    <cfRule type="cellIs" priority="46" operator="greaterThanOrEqual" dxfId="2" stopIfTrue="1">
      <formula>$Q$49</formula>
    </cfRule>
    <cfRule type="cellIs" priority="47" operator="between" dxfId="0" stopIfTrue="1">
      <formula>$O$49</formula>
      <formula>$Q$49</formula>
    </cfRule>
  </conditionalFormatting>
  <conditionalFormatting sqref="C50:L50">
    <cfRule type="cellIs" priority="44" operator="greaterThanOrEqual" dxfId="2" stopIfTrue="1">
      <formula>$Q$50</formula>
    </cfRule>
    <cfRule type="cellIs" priority="45" operator="between" dxfId="0" stopIfTrue="1">
      <formula>$O$50</formula>
      <formula>$Q$50</formula>
    </cfRule>
  </conditionalFormatting>
  <conditionalFormatting sqref="C51:L51">
    <cfRule type="cellIs" priority="42" operator="greaterThanOrEqual" dxfId="2" stopIfTrue="1">
      <formula>$Q$51</formula>
    </cfRule>
    <cfRule type="cellIs" priority="43" operator="between" dxfId="0" stopIfTrue="1">
      <formula>$O$51</formula>
      <formula>$Q$51</formula>
    </cfRule>
  </conditionalFormatting>
  <conditionalFormatting sqref="C55:L55">
    <cfRule type="cellIs" priority="37" operator="greaterThanOrEqual" dxfId="2" stopIfTrue="1">
      <formula>$Q$55</formula>
    </cfRule>
  </conditionalFormatting>
  <conditionalFormatting sqref="C56:L56">
    <cfRule type="cellIs" priority="36" operator="greaterThanOrEqual" dxfId="2" stopIfTrue="1">
      <formula>$Q$56</formula>
    </cfRule>
  </conditionalFormatting>
  <conditionalFormatting sqref="C57:L57">
    <cfRule type="cellIs" priority="35" operator="greaterThanOrEqual" dxfId="2" stopIfTrue="1">
      <formula>$Q$57</formula>
    </cfRule>
  </conditionalFormatting>
  <conditionalFormatting sqref="C58:L58">
    <cfRule type="cellIs" priority="33" operator="greaterThanOrEqual" dxfId="2" stopIfTrue="1">
      <formula>$Q$58</formula>
    </cfRule>
  </conditionalFormatting>
  <conditionalFormatting sqref="C59:L59">
    <cfRule type="cellIs" priority="34" operator="greaterThanOrEqual" dxfId="2" stopIfTrue="1">
      <formula>$Q$59</formula>
    </cfRule>
  </conditionalFormatting>
  <conditionalFormatting sqref="S3">
    <cfRule type="containsText" priority="18" operator="containsText" dxfId="3" stopIfTrue="1" text="SIN EVALUACIÓN">
      <formula>NOT(ISERROR(SEARCH("SIN EVALUACIÓN",S3)))</formula>
    </cfRule>
    <cfRule type="containsText" priority="21" operator="containsText" dxfId="2" stopIfTrue="1" text="PARÁMETROS ANORMALES">
      <formula>NOT(ISERROR(SEARCH("PARÁMETROS ANORMALES",S3)))</formula>
    </cfRule>
    <cfRule type="containsText" priority="20" operator="containsText" dxfId="1" stopIfTrue="1" text="PARÁMETROS NORMALES">
      <formula>NOT(ISERROR(SEARCH("PARÁMETROS NORMALES",S3)))</formula>
    </cfRule>
    <cfRule type="containsText" priority="19" operator="containsText" dxfId="0" stopIfTrue="1" text="PRECAUCIÓN">
      <formula>NOT(ISERROR(SEARCH("PRECAUCIÓN",S3)))</formula>
    </cfRule>
  </conditionalFormatting>
  <conditionalFormatting sqref="X21:AB21">
    <cfRule type="iconSet" priority="60">
      <iconSet iconSet="3Arrows">
        <cfvo type="percent" val="0"/>
        <cfvo type="percent" val="33"/>
        <cfvo type="percent" val="67"/>
      </iconSet>
    </cfRule>
  </conditionalFormatting>
  <conditionalFormatting sqref="X31:AB31">
    <cfRule type="iconSet" priority="59">
      <iconSet iconSet="3Arrows">
        <cfvo type="percent" val="0"/>
        <cfvo type="percent" val="33"/>
        <cfvo type="percent" val="67"/>
      </iconSet>
    </cfRule>
  </conditionalFormatting>
  <dataValidations count="4">
    <dataValidation sqref="S3" showDropDown="0" showInputMessage="1" showErrorMessage="1" allowBlank="1" type="list">
      <formula1>"PARÁMETROS NORMALES,PRECAUCIÓN,PARÁMETROS ANORMALES,SIN EVALUACIÓN"</formula1>
    </dataValidation>
    <dataValidation sqref="L2" showDropDown="0" showInputMessage="1" showErrorMessage="1" allowBlank="1" error="PARAMETROS FUERA DEL LIMITE CONDENATORIO_x000a_"/>
    <dataValidation sqref="C18:L18" showDropDown="0" showInputMessage="1" showErrorMessage="1" allowBlank="1" type="list">
      <formula1>"NORMAL,PRECAUCIÓN,ANORMAL,N/D"</formula1>
    </dataValidation>
    <dataValidation sqref="C26:L26 C28:L28" showDropDown="0" showInputMessage="1" showErrorMessage="1" allowBlank="1" type="list">
      <formula1>"NEGATIVO, POSITIVO"</formula1>
    </dataValidation>
  </dataValidations>
  <pageMargins left="0" right="0" top="0" bottom="0" header="0" footer="0"/>
  <pageSetup orientation="landscape" scale="42"/>
  <colBreaks count="1" manualBreakCount="1">
    <brk id="23" min="0" max="1048575" man="1"/>
  </colBreak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H75"/>
  <sheetViews>
    <sheetView showGridLines="0" view="pageBreakPreview" topLeftCell="A57" zoomScale="70" zoomScaleNormal="100" zoomScaleSheetLayoutView="70" workbookViewId="0">
      <selection activeCell="B89" sqref="B89"/>
    </sheetView>
  </sheetViews>
  <sheetFormatPr baseColWidth="10" defaultRowHeight="12"/>
  <cols>
    <col width="3.5703125" customWidth="1" style="140" min="1" max="1"/>
    <col width="54" customWidth="1" style="140" min="2" max="2"/>
    <col width="14.85546875" customWidth="1" style="140" min="3" max="12"/>
    <col width="2.140625" customWidth="1" style="140" min="13" max="13"/>
    <col width="4" customWidth="1" style="140" min="14" max="14"/>
    <col width="6.85546875" customWidth="1" style="140" min="15" max="15"/>
    <col width="4.140625" customWidth="1" style="140" min="16" max="16"/>
    <col width="6.7109375" customWidth="1" style="140" min="17" max="17"/>
    <col width="6.5703125" customWidth="1" style="140" min="18" max="18"/>
    <col width="22.42578125" customWidth="1" style="140" min="19" max="19"/>
    <col width="15.28515625" customWidth="1" style="140" min="20" max="23"/>
    <col width="11.42578125" customWidth="1" style="140" min="24" max="16384"/>
  </cols>
  <sheetData>
    <row r="1" ht="27.95" customHeight="1" thickBot="1">
      <c r="A1" s="424" t="inlineStr">
        <is>
          <t>REPORTE DE ANÁLISIS DE LUBRICANTE</t>
        </is>
      </c>
      <c r="B1" s="425" t="n"/>
      <c r="C1" s="425" t="n"/>
      <c r="D1" s="425" t="n"/>
      <c r="E1" s="425" t="n"/>
      <c r="F1" s="425" t="n"/>
      <c r="G1" s="425" t="n"/>
      <c r="H1" s="425" t="n"/>
      <c r="I1" s="425" t="n"/>
      <c r="J1" s="425" t="n"/>
      <c r="K1" s="425" t="n"/>
      <c r="L1" s="425" t="n"/>
      <c r="M1" s="425" t="n"/>
      <c r="N1" s="425" t="n"/>
      <c r="O1" s="425" t="n"/>
      <c r="P1" s="425" t="n"/>
      <c r="Q1" s="425" t="n"/>
      <c r="R1" s="425" t="n"/>
      <c r="S1" s="425" t="n"/>
      <c r="T1" s="425" t="n"/>
      <c r="U1" s="425" t="n"/>
      <c r="V1" s="425" t="n"/>
      <c r="W1" s="426" t="n"/>
    </row>
    <row r="2" ht="24" customHeight="1" thickBot="1">
      <c r="A2" s="427" t="n"/>
      <c r="B2" s="428" t="n"/>
      <c r="C2" s="429" t="inlineStr">
        <is>
          <t>NOMBRE DEL CLIENTE:</t>
        </is>
      </c>
      <c r="D2" s="430" t="n"/>
      <c r="E2" s="430" t="n"/>
      <c r="F2" s="430" t="n"/>
      <c r="G2" s="428" t="n"/>
      <c r="H2" s="311" t="inlineStr">
        <is>
          <t>Compartimento:</t>
        </is>
      </c>
      <c r="I2" s="431" t="n"/>
      <c r="J2" s="431" t="n"/>
      <c r="K2" s="432" t="n"/>
      <c r="L2" s="328">
        <f>Datos!A213</f>
        <v/>
      </c>
      <c r="M2" s="431" t="n"/>
      <c r="N2" s="431" t="n"/>
      <c r="O2" s="431" t="n"/>
      <c r="P2" s="431" t="n"/>
      <c r="Q2" s="431" t="n"/>
      <c r="R2" s="432" t="n"/>
      <c r="S2" s="433" t="inlineStr">
        <is>
          <t>Diagnóstico de la última muestra:</t>
        </is>
      </c>
      <c r="T2" s="425" t="n"/>
      <c r="U2" s="425" t="n"/>
      <c r="V2" s="425" t="n"/>
      <c r="W2" s="426" t="n"/>
      <c r="X2" s="141" t="n"/>
      <c r="Y2" s="141" t="n"/>
      <c r="Z2" s="141" t="n"/>
      <c r="AA2" s="141" t="inlineStr">
        <is>
          <t>ENGRANAJE DE LA BOMBA</t>
        </is>
      </c>
      <c r="AB2" s="141" t="n"/>
    </row>
    <row r="3" ht="24" customHeight="1">
      <c r="A3" s="151" t="n"/>
      <c r="B3" s="434" t="n"/>
      <c r="C3" s="435" t="n"/>
      <c r="D3" s="141" t="n"/>
      <c r="E3" s="141" t="n"/>
      <c r="F3" s="141" t="n"/>
      <c r="G3" s="434" t="n"/>
      <c r="H3" s="317" t="inlineStr">
        <is>
          <t>Equipo:</t>
        </is>
      </c>
      <c r="I3" s="436" t="n"/>
      <c r="J3" s="436" t="n"/>
      <c r="K3" s="437" t="n"/>
      <c r="L3" s="210">
        <f>MOTOR!AA3</f>
        <v/>
      </c>
      <c r="M3" s="399" t="n"/>
      <c r="N3" s="399" t="n"/>
      <c r="O3" s="399" t="n"/>
      <c r="P3" s="399" t="n"/>
      <c r="Q3" s="399" t="n"/>
      <c r="R3" s="400" t="n"/>
      <c r="S3" s="438" t="inlineStr">
        <is>
          <t>SIN EVALUACIÓN</t>
        </is>
      </c>
      <c r="T3" s="430" t="n"/>
      <c r="U3" s="430" t="n"/>
      <c r="V3" s="430" t="n"/>
      <c r="W3" s="439" t="n"/>
      <c r="X3" s="141" t="n"/>
      <c r="Y3" s="141" t="n"/>
      <c r="Z3" s="141" t="n"/>
      <c r="AA3" s="141" t="inlineStr">
        <is>
          <t>UG 00</t>
        </is>
      </c>
      <c r="AB3" s="141" t="n"/>
      <c r="AH3" t="inlineStr">
        <is>
          <t>SIN EVALUACION</t>
        </is>
      </c>
    </row>
    <row r="4" ht="24" customHeight="1" thickBot="1">
      <c r="A4" s="151" t="n"/>
      <c r="B4" s="434" t="n"/>
      <c r="C4" s="404" t="inlineStr">
        <is>
          <t>JUSTICE COMPANY</t>
        </is>
      </c>
      <c r="G4" s="397" t="n"/>
      <c r="H4" s="317" t="inlineStr">
        <is>
          <t>Marca:</t>
        </is>
      </c>
      <c r="I4" s="436" t="n"/>
      <c r="J4" s="436" t="n"/>
      <c r="K4" s="437" t="n"/>
      <c r="L4" s="210">
        <f>MOTOR!AA4</f>
        <v/>
      </c>
      <c r="M4" s="399" t="n"/>
      <c r="N4" s="399" t="n"/>
      <c r="O4" s="399" t="n"/>
      <c r="P4" s="399" t="n"/>
      <c r="Q4" s="399" t="n"/>
      <c r="R4" s="400" t="n"/>
      <c r="S4" s="440" t="n"/>
      <c r="T4" s="187" t="n"/>
      <c r="U4" s="187" t="n"/>
      <c r="V4" s="187" t="n"/>
      <c r="W4" s="441" t="n"/>
      <c r="X4" s="141" t="n"/>
      <c r="Y4" s="141" t="n"/>
      <c r="Z4" s="141" t="n"/>
      <c r="AA4" s="141" t="inlineStr">
        <is>
          <t>MARCA EQUIPO</t>
        </is>
      </c>
      <c r="AB4" s="141" t="n"/>
    </row>
    <row r="5" ht="24" customHeight="1">
      <c r="A5" s="151" t="n"/>
      <c r="B5" s="434" t="n"/>
      <c r="C5" s="398" t="n"/>
      <c r="G5" s="397" t="n"/>
      <c r="H5" s="317" t="inlineStr">
        <is>
          <t>Serie:</t>
        </is>
      </c>
      <c r="I5" s="436" t="n"/>
      <c r="J5" s="436" t="n"/>
      <c r="K5" s="437" t="n"/>
      <c r="L5" s="210">
        <f>MOTOR!AA5</f>
        <v/>
      </c>
      <c r="M5" s="399" t="n"/>
      <c r="N5" s="399" t="n"/>
      <c r="O5" s="399" t="n"/>
      <c r="P5" s="399" t="n"/>
      <c r="Q5" s="399" t="n"/>
      <c r="R5" s="400" t="n"/>
      <c r="S5" s="442" t="n"/>
      <c r="T5" s="430" t="n"/>
      <c r="U5" s="430" t="n"/>
      <c r="V5" s="430" t="n"/>
      <c r="W5" s="439" t="n"/>
      <c r="X5" s="141" t="n"/>
      <c r="Y5" s="141" t="n"/>
      <c r="Z5" s="141" t="n"/>
      <c r="AA5" s="141" t="inlineStr">
        <is>
          <t>SERIE</t>
        </is>
      </c>
      <c r="AB5" s="141" t="n"/>
    </row>
    <row r="6" ht="24" customHeight="1">
      <c r="A6" s="151" t="n"/>
      <c r="B6" s="434" t="n"/>
      <c r="C6" s="398" t="n"/>
      <c r="G6" s="397" t="n"/>
      <c r="H6" s="317" t="inlineStr">
        <is>
          <t>Modelo:</t>
        </is>
      </c>
      <c r="I6" s="436" t="n"/>
      <c r="J6" s="436" t="n"/>
      <c r="K6" s="437" t="n"/>
      <c r="L6" s="210">
        <f>MOTOR!AA6</f>
        <v/>
      </c>
      <c r="M6" s="399" t="n"/>
      <c r="N6" s="399" t="n"/>
      <c r="O6" s="399" t="n"/>
      <c r="P6" s="399" t="n"/>
      <c r="Q6" s="399" t="n"/>
      <c r="R6" s="400" t="n"/>
      <c r="S6" s="151" t="n"/>
      <c r="T6" s="141" t="n"/>
      <c r="U6" s="141" t="n"/>
      <c r="V6" s="141" t="n"/>
      <c r="W6" s="152" t="n"/>
      <c r="X6" s="141" t="n"/>
      <c r="Y6" s="141" t="n"/>
      <c r="Z6" s="141" t="n"/>
      <c r="AA6" s="141" t="inlineStr">
        <is>
          <t>MODELO</t>
        </is>
      </c>
      <c r="AB6" s="141" t="n"/>
    </row>
    <row r="7" ht="24" customHeight="1">
      <c r="A7" s="151" t="n"/>
      <c r="B7" s="434" t="n"/>
      <c r="C7" s="398" t="n"/>
      <c r="G7" s="397" t="n"/>
      <c r="H7" s="317" t="inlineStr">
        <is>
          <t>Lubricante:</t>
        </is>
      </c>
      <c r="I7" s="436" t="n"/>
      <c r="J7" s="436" t="n"/>
      <c r="K7" s="437" t="n"/>
      <c r="L7" s="330" t="n"/>
      <c r="M7" s="436" t="n"/>
      <c r="N7" s="436" t="n"/>
      <c r="O7" s="436" t="n"/>
      <c r="P7" s="436" t="n"/>
      <c r="Q7" s="436" t="n"/>
      <c r="R7" s="437" t="n"/>
      <c r="S7" s="151" t="n"/>
      <c r="T7" s="141" t="n"/>
      <c r="U7" s="141" t="n"/>
      <c r="V7" s="141" t="n"/>
      <c r="W7" s="152" t="n"/>
      <c r="X7" s="141" t="n"/>
      <c r="Y7" s="141" t="n"/>
      <c r="Z7" s="141" t="n"/>
      <c r="AA7" s="141" t="inlineStr">
        <is>
          <t>15W40</t>
        </is>
      </c>
      <c r="AB7" s="141" t="n"/>
    </row>
    <row r="8" ht="24" customHeight="1" thickBot="1">
      <c r="A8" s="440" t="n"/>
      <c r="B8" s="443" t="n"/>
      <c r="C8" s="409" t="n"/>
      <c r="D8" s="73" t="n"/>
      <c r="E8" s="73" t="n"/>
      <c r="F8" s="73" t="n"/>
      <c r="G8" s="408" t="n"/>
      <c r="H8" s="283" t="inlineStr">
        <is>
          <t xml:space="preserve">Marca del Lubricante: </t>
        </is>
      </c>
      <c r="I8" s="444" t="n"/>
      <c r="J8" s="444" t="n"/>
      <c r="K8" s="445" t="n"/>
      <c r="L8" s="326" t="n"/>
      <c r="M8" s="444" t="n"/>
      <c r="N8" s="444" t="n"/>
      <c r="O8" s="444" t="n"/>
      <c r="P8" s="444" t="n"/>
      <c r="Q8" s="444" t="n"/>
      <c r="R8" s="445" t="n"/>
      <c r="S8" s="440" t="n"/>
      <c r="T8" s="187" t="n"/>
      <c r="U8" s="187" t="n"/>
      <c r="V8" s="187" t="n"/>
      <c r="W8" s="441" t="n"/>
      <c r="X8" s="141" t="n"/>
      <c r="Y8" s="141" t="n"/>
      <c r="Z8" s="141" t="n"/>
      <c r="AA8" s="141" t="inlineStr">
        <is>
          <t>GULF</t>
        </is>
      </c>
      <c r="AB8" s="141" t="n"/>
    </row>
    <row r="9" ht="15.75" customHeight="1">
      <c r="A9" s="142" t="n"/>
      <c r="B9" s="286" t="n"/>
      <c r="C9" s="141" t="n"/>
      <c r="D9" s="141" t="n"/>
      <c r="E9" s="141" t="n"/>
      <c r="F9" s="141" t="n"/>
      <c r="G9" s="141" t="n"/>
      <c r="H9" s="141" t="n"/>
      <c r="I9" s="141" t="n"/>
      <c r="J9" s="141" t="n"/>
      <c r="K9" s="141" t="n"/>
      <c r="L9" s="141" t="n"/>
      <c r="M9" s="141" t="n"/>
      <c r="N9" s="141" t="n"/>
      <c r="O9" s="141" t="n"/>
      <c r="P9" s="286" t="n"/>
      <c r="Q9" s="144" t="n"/>
      <c r="R9" s="145" t="n"/>
      <c r="S9" s="146" t="n"/>
      <c r="T9" s="147" t="n"/>
      <c r="U9" s="147" t="n"/>
      <c r="V9" s="147" t="n"/>
      <c r="W9" s="148" t="n"/>
      <c r="X9" s="141" t="n"/>
      <c r="Y9" s="141" t="n"/>
      <c r="Z9" s="141" t="n"/>
      <c r="AA9" s="141" t="n"/>
      <c r="AB9" s="141" t="n"/>
    </row>
    <row r="10" ht="15.75" customHeight="1">
      <c r="A10" s="142" t="n"/>
      <c r="B10" s="275" t="inlineStr">
        <is>
          <t>INFORMACIÓN DE LA MUESTRA</t>
        </is>
      </c>
      <c r="C10" s="446" t="n"/>
      <c r="D10" s="446" t="n"/>
      <c r="E10" s="446" t="n"/>
      <c r="F10" s="446" t="n"/>
      <c r="G10" s="446" t="n"/>
      <c r="H10" s="446" t="n"/>
      <c r="I10" s="446" t="n"/>
      <c r="J10" s="446" t="n"/>
      <c r="K10" s="446" t="n"/>
      <c r="L10" s="447" t="n"/>
      <c r="M10" s="144" t="n"/>
      <c r="N10" s="144" t="n"/>
      <c r="O10" s="144" t="n"/>
      <c r="P10" s="144" t="n"/>
      <c r="Q10" s="144" t="n"/>
      <c r="R10" s="145" t="n"/>
      <c r="S10" s="146" t="n"/>
      <c r="T10" s="147" t="n"/>
      <c r="U10" s="147" t="n"/>
      <c r="V10" s="147" t="n"/>
      <c r="W10" s="148" t="n"/>
      <c r="X10" s="141" t="n"/>
      <c r="Y10" s="141" t="n"/>
      <c r="Z10" s="141" t="n"/>
      <c r="AA10" s="141" t="n"/>
      <c r="AB10" s="141" t="n"/>
    </row>
    <row r="11" ht="15" customHeight="1">
      <c r="A11" s="142" t="n"/>
      <c r="B11" s="448" t="n"/>
      <c r="C11" s="449" t="n"/>
      <c r="D11" s="449" t="n"/>
      <c r="E11" s="449" t="n"/>
      <c r="F11" s="449" t="n"/>
      <c r="G11" s="449" t="n"/>
      <c r="H11" s="449" t="n"/>
      <c r="I11" s="449" t="n"/>
      <c r="J11" s="449" t="n"/>
      <c r="K11" s="449" t="n"/>
      <c r="L11" s="450" t="n"/>
      <c r="M11" s="149" t="n"/>
      <c r="N11" s="149" t="n"/>
      <c r="O11" s="149" t="n"/>
      <c r="P11" s="149" t="n"/>
      <c r="Q11" s="149" t="n"/>
      <c r="R11" s="150" t="n"/>
      <c r="S11" s="151" t="n"/>
      <c r="T11" s="141" t="n"/>
      <c r="U11" s="141" t="n"/>
      <c r="V11" s="141" t="n"/>
      <c r="W11" s="152" t="n"/>
      <c r="X11" s="141" t="n"/>
      <c r="Y11" s="141" t="n"/>
      <c r="Z11" s="141" t="n"/>
      <c r="AA11" s="141" t="n"/>
      <c r="AB11" s="141" t="n"/>
    </row>
    <row r="12" ht="18" customHeight="1">
      <c r="A12" s="142" t="n"/>
      <c r="B12" s="153" t="inlineStr">
        <is>
          <t>Numeración de Muestra</t>
        </is>
      </c>
      <c r="C12" s="154" t="inlineStr">
        <is>
          <t>MUESTRA-001</t>
        </is>
      </c>
      <c r="D12" s="154" t="n"/>
      <c r="E12" s="154" t="n"/>
      <c r="F12" s="154" t="n"/>
      <c r="G12" s="154" t="n"/>
      <c r="H12" s="154" t="n"/>
      <c r="I12" s="154" t="n"/>
      <c r="J12" s="154" t="n"/>
      <c r="K12" s="154" t="n"/>
      <c r="L12" s="154" t="n"/>
      <c r="R12" s="155" t="n"/>
      <c r="S12" s="151" t="n"/>
      <c r="T12" s="141" t="n"/>
      <c r="U12" s="141" t="n"/>
      <c r="V12" s="141" t="n"/>
      <c r="W12" s="152" t="n"/>
      <c r="X12" s="141" t="n"/>
      <c r="Y12" s="141" t="n"/>
      <c r="Z12" s="141" t="n"/>
      <c r="AA12" s="141" t="n"/>
      <c r="AB12" s="141" t="n"/>
    </row>
    <row r="13" ht="18" customHeight="1">
      <c r="A13" s="142" t="n"/>
      <c r="B13" s="153" t="inlineStr">
        <is>
          <t>Fecha de Muestreo</t>
        </is>
      </c>
      <c r="C13" s="451" t="inlineStr">
        <is>
          <t>2026-03-28</t>
        </is>
      </c>
      <c r="D13" s="451" t="n"/>
      <c r="E13" s="451" t="n"/>
      <c r="F13" s="451" t="n"/>
      <c r="G13" s="451" t="n"/>
      <c r="H13" s="451" t="n"/>
      <c r="I13" s="451" t="n"/>
      <c r="J13" s="451" t="n"/>
      <c r="K13" s="451" t="n"/>
      <c r="L13" s="451" t="n"/>
      <c r="R13" s="155" t="n"/>
      <c r="S13" s="151" t="n"/>
      <c r="T13" s="141" t="n"/>
      <c r="U13" s="141" t="n"/>
      <c r="V13" s="141" t="n"/>
      <c r="W13" s="152" t="n"/>
      <c r="X13" s="141" t="n"/>
      <c r="Y13" s="141" t="n"/>
      <c r="Z13" s="141" t="n"/>
      <c r="AA13" s="141" t="n"/>
      <c r="AB13" s="141" t="n"/>
    </row>
    <row r="14" ht="15.75" customHeight="1">
      <c r="A14" s="142" t="n"/>
      <c r="B14" s="153" t="inlineStr">
        <is>
          <t>Fecha de Ingreso</t>
        </is>
      </c>
      <c r="C14" s="451" t="inlineStr">
        <is>
          <t>2026-03-29</t>
        </is>
      </c>
      <c r="D14" s="451" t="n"/>
      <c r="E14" s="451" t="n"/>
      <c r="F14" s="451" t="n"/>
      <c r="G14" s="451" t="n"/>
      <c r="H14" s="451" t="n"/>
      <c r="I14" s="451" t="n"/>
      <c r="J14" s="451" t="n"/>
      <c r="K14" s="451" t="n"/>
      <c r="L14" s="451" t="n"/>
      <c r="R14" s="155" t="n"/>
      <c r="S14" s="151" t="n"/>
      <c r="T14" s="141" t="n"/>
      <c r="U14" s="141" t="n"/>
      <c r="V14" s="141" t="n"/>
      <c r="W14" s="152" t="n"/>
      <c r="X14" s="141" t="n"/>
      <c r="Y14" s="141" t="n"/>
      <c r="Z14" s="141" t="n"/>
      <c r="AA14" s="141" t="n"/>
      <c r="AB14" s="141" t="n"/>
    </row>
    <row r="15" ht="18" customHeight="1">
      <c r="A15" s="142" t="n"/>
      <c r="B15" s="153" t="inlineStr">
        <is>
          <t>Fecha de Informe</t>
        </is>
      </c>
      <c r="C15" s="451" t="inlineStr">
        <is>
          <t>2026-03-30</t>
        </is>
      </c>
      <c r="D15" s="451" t="n"/>
      <c r="E15" s="451" t="n"/>
      <c r="F15" s="451" t="n"/>
      <c r="G15" s="451" t="n"/>
      <c r="H15" s="451" t="n"/>
      <c r="I15" s="451" t="n"/>
      <c r="J15" s="451" t="n"/>
      <c r="K15" s="451" t="n"/>
      <c r="L15" s="451" t="n"/>
      <c r="R15" s="155" t="n"/>
      <c r="S15" s="151" t="n"/>
      <c r="T15" s="141" t="n"/>
      <c r="U15" s="141" t="n"/>
      <c r="V15" s="141" t="n"/>
      <c r="W15" s="152" t="n"/>
      <c r="X15" s="141" t="n"/>
      <c r="Y15" s="141" t="n"/>
      <c r="Z15" s="141" t="n"/>
      <c r="AA15" s="141" t="n"/>
      <c r="AB15" s="141" t="n"/>
    </row>
    <row r="16" ht="18" customHeight="1">
      <c r="A16" s="142" t="n"/>
      <c r="B16" s="153" t="inlineStr">
        <is>
          <t>Equipo Hrs/ Km</t>
        </is>
      </c>
      <c r="C16" s="154" t="n">
        <v>12000</v>
      </c>
      <c r="D16" s="154" t="n"/>
      <c r="E16" s="154" t="n"/>
      <c r="F16" s="154" t="n"/>
      <c r="G16" s="154" t="n"/>
      <c r="H16" s="154" t="n"/>
      <c r="I16" s="154" t="n"/>
      <c r="J16" s="154" t="n"/>
      <c r="K16" s="154" t="n"/>
      <c r="L16" s="154" t="n"/>
      <c r="R16" s="155" t="n"/>
      <c r="S16" s="151" t="n"/>
      <c r="T16" s="141" t="n"/>
      <c r="U16" s="141" t="n"/>
      <c r="V16" s="141" t="n"/>
      <c r="W16" s="152" t="n"/>
      <c r="X16" s="141" t="n"/>
      <c r="Y16" s="141" t="n"/>
      <c r="Z16" s="141" t="n"/>
      <c r="AA16" s="141" t="n"/>
      <c r="AB16" s="141" t="n"/>
    </row>
    <row r="17" ht="18" customHeight="1">
      <c r="A17" s="142" t="n"/>
      <c r="B17" s="153" t="inlineStr">
        <is>
          <t>Aceite Hrs/ Km</t>
        </is>
      </c>
      <c r="C17" s="154" t="n">
        <v>320</v>
      </c>
      <c r="D17" s="154" t="n"/>
      <c r="E17" s="154" t="n"/>
      <c r="F17" s="154" t="n"/>
      <c r="G17" s="154" t="n"/>
      <c r="H17" s="154" t="n"/>
      <c r="I17" s="154" t="n"/>
      <c r="J17" s="154" t="n"/>
      <c r="K17" s="154" t="n"/>
      <c r="L17" s="154" t="n"/>
      <c r="R17" s="155" t="n"/>
      <c r="S17" s="151" t="n"/>
      <c r="T17" s="141" t="n"/>
      <c r="U17" s="141" t="n"/>
      <c r="V17" s="141" t="n"/>
      <c r="W17" s="152" t="n"/>
      <c r="X17" s="141" t="n"/>
      <c r="Y17" s="141" t="n"/>
      <c r="Z17" s="141" t="n"/>
      <c r="AA17" s="141" t="n"/>
      <c r="AB17" s="141" t="n"/>
    </row>
    <row r="18" ht="18" customHeight="1">
      <c r="A18" s="142" t="n"/>
      <c r="B18" s="153" t="inlineStr">
        <is>
          <t>Condición</t>
        </is>
      </c>
      <c r="C18" s="157" t="inlineStr">
        <is>
          <t>NORMAL</t>
        </is>
      </c>
      <c r="D18" s="157" t="n"/>
      <c r="E18" s="157" t="n"/>
      <c r="F18" s="157" t="n"/>
      <c r="G18" s="157" t="n"/>
      <c r="H18" s="157" t="n"/>
      <c r="I18" s="157" t="n"/>
      <c r="J18" s="157" t="n"/>
      <c r="K18" s="157" t="n"/>
      <c r="L18" s="157" t="n"/>
      <c r="R18" s="155" t="n"/>
      <c r="S18" s="151" t="n"/>
      <c r="T18" s="141" t="n"/>
      <c r="U18" s="141" t="n"/>
      <c r="V18" s="141" t="n"/>
      <c r="W18" s="152" t="n"/>
      <c r="X18" s="141" t="n"/>
      <c r="Y18" s="141" t="n"/>
      <c r="Z18" s="141" t="n"/>
      <c r="AA18" s="141" t="n"/>
      <c r="AB18" s="141" t="n"/>
    </row>
    <row r="19" ht="18" customHeight="1">
      <c r="A19" s="142" t="n"/>
      <c r="B19" s="158" t="n"/>
      <c r="C19" s="158" t="n"/>
      <c r="D19" s="158" t="n"/>
      <c r="E19" s="158" t="n"/>
      <c r="F19" s="158" t="n"/>
      <c r="G19" s="158" t="n"/>
      <c r="H19" s="158" t="n"/>
      <c r="I19" s="158" t="n"/>
      <c r="J19" s="158" t="n"/>
      <c r="K19" s="158" t="n"/>
      <c r="L19" s="158" t="n"/>
      <c r="R19" s="155" t="n"/>
      <c r="S19" s="151" t="n"/>
      <c r="T19" s="141" t="n"/>
      <c r="U19" s="141" t="n"/>
      <c r="V19" s="141" t="n"/>
      <c r="W19" s="152" t="n"/>
      <c r="X19" s="141" t="n"/>
      <c r="Y19" s="141" t="n"/>
      <c r="Z19" s="141" t="n"/>
      <c r="AA19" s="141" t="n"/>
      <c r="AB19" s="141" t="n"/>
    </row>
    <row r="20" ht="18" customHeight="1">
      <c r="A20" s="142" t="n"/>
      <c r="B20" s="275" t="inlineStr">
        <is>
          <t>ESTADO DEL LUBRICANTE</t>
        </is>
      </c>
      <c r="C20" s="446" t="n"/>
      <c r="D20" s="446" t="n"/>
      <c r="E20" s="446" t="n"/>
      <c r="F20" s="446" t="n"/>
      <c r="G20" s="446" t="n"/>
      <c r="H20" s="446" t="n"/>
      <c r="I20" s="446" t="n"/>
      <c r="J20" s="446" t="n"/>
      <c r="K20" s="446" t="n"/>
      <c r="L20" s="447" t="n"/>
      <c r="N20" s="276" t="inlineStr">
        <is>
          <t>* Rangos Generales</t>
        </is>
      </c>
      <c r="O20" s="436" t="n"/>
      <c r="P20" s="436" t="n"/>
      <c r="Q20" s="437" t="n"/>
      <c r="R20" s="155" t="n"/>
      <c r="S20" s="151" t="n"/>
      <c r="T20" s="141" t="n"/>
      <c r="U20" s="141" t="n"/>
      <c r="V20" s="141" t="n"/>
      <c r="W20" s="152" t="n"/>
      <c r="X20" s="141" t="n"/>
      <c r="Y20" s="141" t="n"/>
      <c r="Z20" s="141" t="n"/>
      <c r="AA20" s="141" t="n"/>
      <c r="AB20" s="141" t="n"/>
    </row>
    <row r="21" ht="18" customHeight="1">
      <c r="A21" s="142" t="n"/>
      <c r="B21" s="448" t="n"/>
      <c r="C21" s="449" t="n"/>
      <c r="D21" s="449" t="n"/>
      <c r="E21" s="449" t="n"/>
      <c r="F21" s="449" t="n"/>
      <c r="G21" s="449" t="n"/>
      <c r="H21" s="449" t="n"/>
      <c r="I21" s="449" t="n"/>
      <c r="J21" s="449" t="n"/>
      <c r="K21" s="449" t="n"/>
      <c r="L21" s="450" t="n"/>
      <c r="M21" s="149" t="n"/>
      <c r="N21" s="276" t="inlineStr">
        <is>
          <t>Precaución</t>
        </is>
      </c>
      <c r="O21" s="437" t="n"/>
      <c r="P21" s="276" t="inlineStr">
        <is>
          <t>Anormal</t>
        </is>
      </c>
      <c r="Q21" s="437" t="n"/>
      <c r="R21" s="155" t="n"/>
      <c r="S21" s="151" t="n"/>
      <c r="T21" s="141" t="n"/>
      <c r="U21" s="141" t="n"/>
      <c r="V21" s="141" t="n"/>
      <c r="W21" s="152" t="n"/>
      <c r="X21" s="286" t="n"/>
      <c r="Y21" s="286" t="n"/>
      <c r="Z21" s="286" t="n"/>
      <c r="AA21" s="286" t="n"/>
      <c r="AB21" s="286" t="n"/>
    </row>
    <row r="22" hidden="1" ht="15.75" customHeight="1">
      <c r="A22" s="142" t="n"/>
      <c r="B22" s="153" t="inlineStr">
        <is>
          <t>Viscosidad a 100ºC, cSt</t>
        </is>
      </c>
      <c r="C22" s="452" t="n">
        <v>0</v>
      </c>
      <c r="D22" s="452" t="n"/>
      <c r="E22" s="452" t="n"/>
      <c r="F22" s="452" t="n"/>
      <c r="G22" s="452" t="n"/>
      <c r="H22" s="452" t="n"/>
      <c r="I22" s="452" t="n"/>
      <c r="J22" s="452" t="n"/>
      <c r="K22" s="452" t="n"/>
      <c r="L22" s="452" t="n"/>
      <c r="M22" s="149" t="n"/>
      <c r="N22" s="160" t="n"/>
      <c r="O22" s="453" t="n"/>
      <c r="P22" s="162" t="n"/>
      <c r="Q22" s="453" t="n"/>
      <c r="R22" s="155" t="n"/>
      <c r="S22" s="151" t="n"/>
      <c r="T22" s="141" t="n"/>
      <c r="U22" s="141" t="n"/>
      <c r="V22" s="141" t="n"/>
      <c r="W22" s="152" t="n"/>
      <c r="X22" s="141" t="n"/>
      <c r="Y22" s="141" t="n"/>
      <c r="Z22" s="141" t="n"/>
      <c r="AA22" s="141" t="n"/>
      <c r="AB22" s="141" t="n"/>
    </row>
    <row r="23" ht="15.75" customHeight="1">
      <c r="A23" s="142" t="n"/>
      <c r="B23" s="153" t="inlineStr">
        <is>
          <t>Viscosidad a 40ºC, cSt</t>
        </is>
      </c>
      <c r="C23" s="452" t="n">
        <v>0</v>
      </c>
      <c r="D23" s="452" t="n"/>
      <c r="E23" s="452" t="n"/>
      <c r="F23" s="452" t="n"/>
      <c r="G23" s="452" t="n"/>
      <c r="H23" s="452" t="n"/>
      <c r="I23" s="452" t="n"/>
      <c r="J23" s="452" t="n"/>
      <c r="K23" s="452" t="n"/>
      <c r="L23" s="452" t="n"/>
      <c r="M23" s="149" t="n"/>
      <c r="N23" s="160" t="n"/>
      <c r="O23" s="453" t="n"/>
      <c r="P23" s="162" t="n"/>
      <c r="Q23" s="453" t="n"/>
      <c r="R23" s="155" t="n"/>
      <c r="S23" s="151" t="n"/>
      <c r="T23" s="141" t="n"/>
      <c r="U23" s="141" t="n"/>
      <c r="V23" s="141" t="n"/>
      <c r="W23" s="152" t="n"/>
      <c r="X23" s="141" t="n"/>
      <c r="Y23" s="141" t="n"/>
      <c r="Z23" s="141" t="n"/>
      <c r="AA23" s="141" t="n"/>
      <c r="AB23" s="141" t="n"/>
    </row>
    <row r="24" hidden="1" ht="15.75" customHeight="1">
      <c r="A24" s="142" t="n"/>
      <c r="B24" s="153" t="inlineStr">
        <is>
          <t>Indice de Viscosidad</t>
        </is>
      </c>
      <c r="C24" s="163" t="n">
        <v>0</v>
      </c>
      <c r="D24" s="163" t="n"/>
      <c r="E24" s="163" t="n"/>
      <c r="F24" s="163" t="n"/>
      <c r="G24" s="163" t="n"/>
      <c r="H24" s="163" t="n"/>
      <c r="I24" s="163" t="n"/>
      <c r="J24" s="163" t="n"/>
      <c r="K24" s="163" t="n"/>
      <c r="L24" s="163" t="n"/>
      <c r="M24" s="149" t="n"/>
      <c r="N24" s="164" t="n"/>
      <c r="O24" s="454" t="n"/>
      <c r="P24" s="164" t="n"/>
      <c r="Q24" s="454" t="n"/>
      <c r="R24" s="155" t="n"/>
      <c r="S24" s="151" t="n"/>
      <c r="T24" s="141" t="n"/>
      <c r="U24" s="141" t="n"/>
      <c r="V24" s="141" t="n"/>
      <c r="W24" s="152" t="n"/>
      <c r="X24" s="141" t="n"/>
      <c r="Y24" s="141" t="n"/>
      <c r="Z24" s="141" t="n"/>
      <c r="AA24" s="141" t="n"/>
      <c r="AB24" s="141" t="n"/>
    </row>
    <row r="25" hidden="1" ht="15.75" customHeight="1">
      <c r="A25" s="142" t="n"/>
      <c r="B25" s="153" t="inlineStr">
        <is>
          <t>T.B.N. mgKOH/gr</t>
        </is>
      </c>
      <c r="C25" s="455" t="n">
        <v>0</v>
      </c>
      <c r="D25" s="455" t="n"/>
      <c r="E25" s="455" t="n"/>
      <c r="F25" s="455" t="n"/>
      <c r="G25" s="455" t="n"/>
      <c r="H25" s="455" t="n"/>
      <c r="I25" s="455" t="n"/>
      <c r="J25" s="455" t="n"/>
      <c r="K25" s="455" t="n"/>
      <c r="L25" s="455" t="n"/>
      <c r="M25" s="167" t="n"/>
      <c r="N25" s="276" t="inlineStr">
        <is>
          <t>[50% TBN -1]</t>
        </is>
      </c>
      <c r="O25" s="436" t="n"/>
      <c r="P25" s="436" t="n"/>
      <c r="Q25" s="437" t="n"/>
      <c r="R25" s="155" t="n"/>
      <c r="S25" s="151" t="n"/>
      <c r="T25" s="141" t="n"/>
      <c r="U25" s="141" t="n"/>
      <c r="V25" s="141" t="n"/>
      <c r="W25" s="152" t="n"/>
    </row>
    <row r="26" ht="15.75" customHeight="1">
      <c r="A26" s="142" t="n"/>
      <c r="B26" s="153" t="inlineStr">
        <is>
          <t>Humedad</t>
        </is>
      </c>
      <c r="C26" s="154" t="inlineStr">
        <is>
          <t>NEGATIVO</t>
        </is>
      </c>
      <c r="D26" s="154" t="n"/>
      <c r="E26" s="154" t="n"/>
      <c r="F26" s="154" t="n"/>
      <c r="G26" s="154" t="n"/>
      <c r="H26" s="154" t="n"/>
      <c r="I26" s="154" t="n"/>
      <c r="J26" s="154" t="n"/>
      <c r="K26" s="154" t="n"/>
      <c r="L26" s="154" t="n"/>
      <c r="M26" s="149" t="n"/>
      <c r="N26" s="164" t="n"/>
      <c r="O26" s="454" t="n"/>
      <c r="P26" s="290" t="inlineStr">
        <is>
          <t>POSITIVO</t>
        </is>
      </c>
      <c r="Q26" s="437" t="n"/>
      <c r="R26" s="155" t="n"/>
      <c r="S26" s="151" t="n"/>
      <c r="T26" s="141" t="n"/>
      <c r="U26" s="141" t="n"/>
      <c r="V26" s="141" t="n"/>
      <c r="W26" s="152" t="n"/>
      <c r="X26" s="141" t="n"/>
      <c r="Y26" s="141" t="n"/>
      <c r="Z26" s="141" t="n"/>
      <c r="AA26" s="141" t="n"/>
    </row>
    <row r="27" hidden="1" ht="15.75" customHeight="1">
      <c r="A27" s="142" t="n"/>
      <c r="B27" s="153" t="inlineStr">
        <is>
          <t>Glycol,  Abs/cm</t>
        </is>
      </c>
      <c r="C27" s="154" t="n">
        <v>0</v>
      </c>
      <c r="D27" s="154" t="n"/>
      <c r="E27" s="154" t="n"/>
      <c r="F27" s="154" t="n"/>
      <c r="G27" s="154" t="n"/>
      <c r="H27" s="154" t="n"/>
      <c r="I27" s="154" t="n"/>
      <c r="J27" s="154" t="n"/>
      <c r="K27" s="154" t="n"/>
      <c r="L27" s="154" t="n"/>
      <c r="M27" s="149" t="n"/>
      <c r="N27" s="168" t="n"/>
      <c r="O27" s="169" t="n"/>
      <c r="P27" s="168" t="n"/>
      <c r="Q27" s="170" t="n"/>
      <c r="R27" s="155" t="n"/>
      <c r="S27" s="151" t="n"/>
      <c r="T27" s="141" t="n"/>
      <c r="U27" s="141" t="n"/>
      <c r="V27" s="141" t="n"/>
      <c r="W27" s="152" t="n"/>
      <c r="X27" s="141" t="n"/>
      <c r="Y27" s="141" t="n"/>
      <c r="Z27" s="141" t="n"/>
    </row>
    <row r="28" hidden="1" ht="15.75" customFormat="1" customHeight="1" s="173">
      <c r="A28" s="171" t="n"/>
      <c r="B28" s="153" t="inlineStr">
        <is>
          <t>Combustible</t>
        </is>
      </c>
      <c r="C28" s="154" t="inlineStr">
        <is>
          <t>NEGATIVO</t>
        </is>
      </c>
      <c r="D28" s="154" t="n"/>
      <c r="E28" s="154" t="n"/>
      <c r="F28" s="154" t="n"/>
      <c r="G28" s="154" t="n"/>
      <c r="H28" s="154" t="n"/>
      <c r="I28" s="154" t="n"/>
      <c r="J28" s="154" t="n"/>
      <c r="K28" s="154" t="n"/>
      <c r="L28" s="154" t="n"/>
      <c r="M28" s="167" t="n"/>
      <c r="N28" s="164" t="n"/>
      <c r="O28" s="454" t="n"/>
      <c r="P28" s="290" t="inlineStr">
        <is>
          <t>POSITIVO</t>
        </is>
      </c>
      <c r="Q28" s="437" t="n"/>
      <c r="R28" s="172" t="n"/>
      <c r="S28" s="151" t="n"/>
      <c r="T28" s="141" t="n"/>
      <c r="U28" s="141" t="n"/>
      <c r="V28" s="141" t="n"/>
      <c r="W28" s="152" t="n"/>
      <c r="X28" s="141" t="n"/>
      <c r="Y28" s="141" t="n"/>
      <c r="Z28" s="141" t="n"/>
      <c r="AA28" s="141" t="n"/>
    </row>
    <row r="29" ht="18" customHeight="1">
      <c r="A29" s="142" t="n"/>
      <c r="B29" s="158" t="n"/>
      <c r="C29" s="158" t="n"/>
      <c r="D29" s="158" t="n"/>
      <c r="E29" s="158" t="n"/>
      <c r="F29" s="158" t="n"/>
      <c r="G29" s="158" t="n"/>
      <c r="H29" s="158" t="n"/>
      <c r="I29" s="158" t="n"/>
      <c r="J29" s="158" t="n"/>
      <c r="K29" s="158" t="n"/>
      <c r="L29" s="158" t="n"/>
      <c r="N29" s="174" t="n"/>
      <c r="O29" s="175" t="n"/>
      <c r="P29" s="175" t="n"/>
      <c r="Q29" s="175" t="n"/>
      <c r="R29" s="155" t="n"/>
      <c r="S29" s="151" t="n"/>
      <c r="T29" s="141" t="n"/>
      <c r="U29" s="141" t="n"/>
      <c r="V29" s="141" t="n"/>
      <c r="W29" s="152" t="n"/>
    </row>
    <row r="30" ht="18" customHeight="1">
      <c r="A30" s="142" t="n"/>
      <c r="B30" s="275" t="inlineStr">
        <is>
          <t>DEGRADACIÓN QUÍMICA</t>
        </is>
      </c>
      <c r="C30" s="446" t="n"/>
      <c r="D30" s="446" t="n"/>
      <c r="E30" s="446" t="n"/>
      <c r="F30" s="446" t="n"/>
      <c r="G30" s="446" t="n"/>
      <c r="H30" s="446" t="n"/>
      <c r="I30" s="446" t="n"/>
      <c r="J30" s="446" t="n"/>
      <c r="K30" s="446" t="n"/>
      <c r="L30" s="447" t="n"/>
      <c r="N30" s="276" t="inlineStr">
        <is>
          <t>* Rangos Generales</t>
        </is>
      </c>
      <c r="O30" s="436" t="n"/>
      <c r="P30" s="436" t="n"/>
      <c r="Q30" s="437" t="n"/>
      <c r="R30" s="155" t="n"/>
      <c r="S30" s="151" t="n"/>
      <c r="T30" s="141" t="n"/>
      <c r="U30" s="141" t="n"/>
      <c r="V30" s="141" t="n"/>
      <c r="W30" s="152" t="n"/>
    </row>
    <row r="31" ht="18" customHeight="1">
      <c r="A31" s="142" t="n"/>
      <c r="B31" s="448" t="n"/>
      <c r="C31" s="449" t="n"/>
      <c r="D31" s="449" t="n"/>
      <c r="E31" s="449" t="n"/>
      <c r="F31" s="449" t="n"/>
      <c r="G31" s="449" t="n"/>
      <c r="H31" s="449" t="n"/>
      <c r="I31" s="449" t="n"/>
      <c r="J31" s="449" t="n"/>
      <c r="K31" s="449" t="n"/>
      <c r="L31" s="450" t="n"/>
      <c r="M31" s="149" t="n"/>
      <c r="N31" s="276" t="inlineStr">
        <is>
          <t>Precaución</t>
        </is>
      </c>
      <c r="O31" s="437" t="n"/>
      <c r="P31" s="276" t="inlineStr">
        <is>
          <t>Anormal</t>
        </is>
      </c>
      <c r="Q31" s="437" t="n"/>
      <c r="R31" s="155" t="n"/>
      <c r="S31" s="151" t="n"/>
      <c r="T31" s="141" t="n"/>
      <c r="U31" s="141" t="n"/>
      <c r="V31" s="141" t="n"/>
      <c r="W31" s="152" t="n"/>
      <c r="X31" s="286" t="n"/>
      <c r="Y31" s="286" t="n"/>
      <c r="Z31" s="286" t="n"/>
      <c r="AA31" s="286" t="n"/>
      <c r="AB31" s="286" t="n"/>
    </row>
    <row r="32" ht="18" customHeight="1">
      <c r="A32" s="142" t="n"/>
      <c r="B32" s="153" t="inlineStr">
        <is>
          <t>Oxidación, Abs/cm</t>
        </is>
      </c>
      <c r="C32" s="456" t="n">
        <v>0</v>
      </c>
      <c r="D32" s="456" t="n"/>
      <c r="E32" s="456" t="n"/>
      <c r="F32" s="456" t="n"/>
      <c r="G32" s="456" t="n"/>
      <c r="H32" s="456" t="n"/>
      <c r="I32" s="456" t="n"/>
      <c r="J32" s="456" t="n"/>
      <c r="K32" s="456" t="n"/>
      <c r="L32" s="456" t="n"/>
      <c r="M32" s="149" t="n"/>
      <c r="N32" s="164" t="n"/>
      <c r="O32" s="177" t="n"/>
      <c r="P32" s="164" t="n"/>
      <c r="Q32" s="177" t="n"/>
      <c r="R32" s="155" t="n"/>
      <c r="S32" s="151" t="n"/>
      <c r="T32" s="141" t="n"/>
      <c r="U32" s="141" t="n"/>
      <c r="V32" s="141" t="n"/>
      <c r="W32" s="152" t="n"/>
      <c r="X32" s="141" t="n"/>
      <c r="Y32" s="141" t="n"/>
      <c r="Z32" s="141" t="n"/>
    </row>
    <row r="33" hidden="1" ht="15.75" customHeight="1">
      <c r="A33" s="142" t="n"/>
      <c r="B33" s="153" t="inlineStr">
        <is>
          <t>Nitración, Abs/cm</t>
        </is>
      </c>
      <c r="C33" s="423" t="n">
        <v>0</v>
      </c>
      <c r="D33" s="423" t="n"/>
      <c r="E33" s="423" t="n"/>
      <c r="F33" s="423" t="n"/>
      <c r="G33" s="423" t="n"/>
      <c r="H33" s="423" t="n"/>
      <c r="I33" s="423" t="n"/>
      <c r="J33" s="423" t="n"/>
      <c r="K33" s="423" t="n"/>
      <c r="L33" s="423" t="n"/>
      <c r="M33" s="149" t="n"/>
      <c r="N33" s="164" t="n"/>
      <c r="O33" s="177" t="n"/>
      <c r="P33" s="164" t="n"/>
      <c r="Q33" s="177" t="n"/>
      <c r="R33" s="155" t="n"/>
      <c r="S33" s="151" t="n"/>
      <c r="T33" s="141" t="n"/>
      <c r="U33" s="141" t="n"/>
      <c r="V33" s="141" t="n"/>
      <c r="W33" s="152" t="n"/>
    </row>
    <row r="34" hidden="1" ht="15.75" customHeight="1">
      <c r="A34" s="142" t="n"/>
      <c r="B34" s="153" t="inlineStr">
        <is>
          <t>Sulfatación, Abs/cm</t>
        </is>
      </c>
      <c r="C34" s="423" t="n">
        <v>0</v>
      </c>
      <c r="D34" s="423" t="n"/>
      <c r="E34" s="423" t="n"/>
      <c r="F34" s="423" t="n"/>
      <c r="G34" s="423" t="n"/>
      <c r="H34" s="423" t="n"/>
      <c r="I34" s="423" t="n"/>
      <c r="J34" s="423" t="n"/>
      <c r="K34" s="423" t="n"/>
      <c r="L34" s="423" t="n"/>
      <c r="M34" s="149" t="n"/>
      <c r="N34" s="164" t="n"/>
      <c r="O34" s="177" t="n"/>
      <c r="P34" s="164" t="n"/>
      <c r="Q34" s="177" t="n"/>
      <c r="R34" s="155" t="n"/>
      <c r="S34" s="151" t="n"/>
      <c r="T34" s="141" t="n"/>
      <c r="U34" s="141" t="n"/>
      <c r="V34" s="141" t="n"/>
      <c r="W34" s="152" t="n"/>
    </row>
    <row r="35" hidden="1" ht="15.75" customHeight="1">
      <c r="A35" s="142" t="n"/>
      <c r="B35" s="153" t="inlineStr">
        <is>
          <t>Hollín, wt%</t>
        </is>
      </c>
      <c r="C35" s="423" t="n">
        <v>0</v>
      </c>
      <c r="D35" s="423" t="n"/>
      <c r="E35" s="423" t="n"/>
      <c r="F35" s="423" t="n"/>
      <c r="G35" s="423" t="n"/>
      <c r="H35" s="423" t="n"/>
      <c r="I35" s="423" t="n"/>
      <c r="J35" s="423" t="n"/>
      <c r="K35" s="423" t="n"/>
      <c r="L35" s="423" t="n"/>
      <c r="M35" s="149" t="n"/>
      <c r="N35" s="164" t="n"/>
      <c r="O35" s="178" t="n"/>
      <c r="P35" s="164" t="n"/>
      <c r="Q35" s="177" t="n"/>
      <c r="R35" s="155" t="n"/>
      <c r="S35" s="151" t="n"/>
      <c r="T35" s="141" t="n"/>
      <c r="U35" s="141" t="n"/>
      <c r="V35" s="141" t="n"/>
      <c r="W35" s="152" t="n"/>
    </row>
    <row r="36" ht="18" customHeight="1">
      <c r="A36" s="142" t="n"/>
      <c r="B36" s="158" t="n"/>
      <c r="C36" s="158" t="n"/>
      <c r="D36" s="158" t="n"/>
      <c r="E36" s="158" t="n"/>
      <c r="F36" s="158" t="n"/>
      <c r="G36" s="158" t="n"/>
      <c r="H36" s="158" t="n"/>
      <c r="I36" s="158" t="n"/>
      <c r="J36" s="158" t="n"/>
      <c r="K36" s="158" t="n"/>
      <c r="L36" s="158" t="n"/>
      <c r="N36" s="174" t="n"/>
      <c r="O36" s="175" t="n"/>
      <c r="P36" s="175" t="n"/>
      <c r="Q36" s="175" t="n"/>
      <c r="R36" s="155" t="n"/>
      <c r="S36" s="151" t="n"/>
      <c r="T36" s="141" t="n"/>
      <c r="U36" s="141" t="n"/>
      <c r="V36" s="141" t="n"/>
      <c r="W36" s="152" t="n"/>
      <c r="X36" s="141" t="n"/>
      <c r="Y36" s="141" t="n"/>
      <c r="Z36" s="141" t="n"/>
      <c r="AA36" s="141" t="n"/>
    </row>
    <row r="37" ht="18" customHeight="1">
      <c r="A37" s="142" t="n"/>
      <c r="B37" s="275" t="inlineStr">
        <is>
          <t>CONTAMINACIÓN DEL LUBRICANTE - PPM (mg/kg)</t>
        </is>
      </c>
      <c r="C37" s="446" t="n"/>
      <c r="D37" s="446" t="n"/>
      <c r="E37" s="446" t="n"/>
      <c r="F37" s="446" t="n"/>
      <c r="G37" s="446" t="n"/>
      <c r="H37" s="446" t="n"/>
      <c r="I37" s="446" t="n"/>
      <c r="J37" s="446" t="n"/>
      <c r="K37" s="446" t="n"/>
      <c r="L37" s="447" t="n"/>
      <c r="N37" s="276" t="inlineStr">
        <is>
          <t>* Rangos Generales</t>
        </is>
      </c>
      <c r="O37" s="436" t="n"/>
      <c r="P37" s="436" t="n"/>
      <c r="Q37" s="437" t="n"/>
      <c r="R37" s="155" t="n"/>
      <c r="S37" s="151" t="n"/>
      <c r="T37" s="141" t="n"/>
      <c r="U37" s="141" t="n"/>
      <c r="V37" s="141" t="n"/>
      <c r="W37" s="152" t="n"/>
      <c r="X37" s="141" t="n"/>
      <c r="Y37" s="141" t="n"/>
      <c r="Z37" s="141" t="n"/>
      <c r="AA37" s="141" t="n"/>
    </row>
    <row r="38" ht="18" customHeight="1">
      <c r="A38" s="142" t="n"/>
      <c r="B38" s="448" t="n"/>
      <c r="C38" s="449" t="n"/>
      <c r="D38" s="449" t="n"/>
      <c r="E38" s="449" t="n"/>
      <c r="F38" s="449" t="n"/>
      <c r="G38" s="449" t="n"/>
      <c r="H38" s="449" t="n"/>
      <c r="I38" s="449" t="n"/>
      <c r="J38" s="449" t="n"/>
      <c r="K38" s="449" t="n"/>
      <c r="L38" s="450" t="n"/>
      <c r="M38" s="149" t="n"/>
      <c r="N38" s="276" t="inlineStr">
        <is>
          <t>Precaución</t>
        </is>
      </c>
      <c r="O38" s="437" t="n"/>
      <c r="P38" s="276" t="inlineStr">
        <is>
          <t>Anormal</t>
        </is>
      </c>
      <c r="Q38" s="437" t="n"/>
      <c r="R38" s="179" t="n"/>
      <c r="S38" s="151" t="n"/>
      <c r="T38" s="141" t="n"/>
      <c r="U38" s="141" t="n"/>
      <c r="V38" s="141" t="n"/>
      <c r="W38" s="152" t="n"/>
      <c r="X38" s="141" t="n"/>
      <c r="Y38" s="141" t="n"/>
      <c r="Z38" s="141" t="n"/>
      <c r="AA38" s="141" t="n"/>
    </row>
    <row r="39" ht="18" customHeight="1">
      <c r="A39" s="142" t="n"/>
      <c r="B39" s="153" t="inlineStr">
        <is>
          <t>Si (Silicio)</t>
        </is>
      </c>
      <c r="C39" s="154" t="n">
        <v>0</v>
      </c>
      <c r="D39" s="154" t="n"/>
      <c r="E39" s="154" t="n"/>
      <c r="F39" s="154" t="n"/>
      <c r="G39" s="154" t="n"/>
      <c r="H39" s="154" t="n"/>
      <c r="I39" s="154" t="n"/>
      <c r="J39" s="154" t="n"/>
      <c r="K39" s="154" t="n"/>
      <c r="L39" s="154" t="n"/>
      <c r="M39" s="149" t="n"/>
      <c r="N39" s="164" t="n"/>
      <c r="O39" s="177" t="n"/>
      <c r="P39" s="164" t="n"/>
      <c r="Q39" s="177" t="n"/>
      <c r="R39" s="155" t="n"/>
      <c r="S39" s="151" t="n"/>
      <c r="T39" s="141" t="n"/>
      <c r="U39" s="141" t="n"/>
      <c r="V39" s="141" t="n"/>
      <c r="W39" s="152" t="n"/>
      <c r="X39" s="141" t="n"/>
      <c r="Y39" s="141" t="n"/>
      <c r="Z39" s="141" t="n"/>
      <c r="AA39" s="141" t="n"/>
    </row>
    <row r="40" ht="18" customHeight="1">
      <c r="A40" s="142" t="n"/>
      <c r="B40" s="153" t="inlineStr">
        <is>
          <t>Na (Sodio)</t>
        </is>
      </c>
      <c r="C40" s="154" t="n">
        <v>0</v>
      </c>
      <c r="D40" s="154" t="n"/>
      <c r="E40" s="154" t="n"/>
      <c r="F40" s="154" t="n"/>
      <c r="G40" s="154" t="n"/>
      <c r="H40" s="154" t="n"/>
      <c r="I40" s="154" t="n"/>
      <c r="J40" s="154" t="n"/>
      <c r="K40" s="154" t="n"/>
      <c r="L40" s="154" t="n"/>
      <c r="M40" s="149" t="n"/>
      <c r="N40" s="164" t="n"/>
      <c r="O40" s="177" t="n"/>
      <c r="P40" s="164" t="n"/>
      <c r="Q40" s="177" t="n"/>
      <c r="R40" s="155" t="n"/>
      <c r="S40" s="151" t="n"/>
      <c r="T40" s="141" t="n"/>
      <c r="U40" s="141" t="n"/>
      <c r="V40" s="141" t="n"/>
      <c r="W40" s="152" t="n"/>
      <c r="X40" s="141" t="n"/>
      <c r="Y40" s="141" t="n"/>
      <c r="Z40" s="141" t="n"/>
      <c r="AA40" s="141" t="n"/>
    </row>
    <row r="41" ht="18" customHeight="1">
      <c r="A41" s="142" t="n"/>
      <c r="B41" s="153" t="inlineStr">
        <is>
          <t>Vanadio (V)</t>
        </is>
      </c>
      <c r="C41" s="154" t="n">
        <v>0</v>
      </c>
      <c r="D41" s="154" t="n"/>
      <c r="E41" s="154" t="n"/>
      <c r="F41" s="154" t="n"/>
      <c r="G41" s="154" t="n"/>
      <c r="H41" s="154" t="n"/>
      <c r="I41" s="154" t="n"/>
      <c r="J41" s="154" t="n"/>
      <c r="K41" s="154" t="n"/>
      <c r="L41" s="154" t="n"/>
      <c r="M41" s="149" t="n"/>
      <c r="N41" s="164" t="n"/>
      <c r="O41" s="177" t="n"/>
      <c r="P41" s="164" t="n"/>
      <c r="Q41" s="177" t="n"/>
      <c r="R41" s="155" t="n"/>
      <c r="S41" s="151" t="n"/>
      <c r="T41" s="141" t="n"/>
      <c r="U41" s="141" t="n"/>
      <c r="V41" s="141" t="n"/>
      <c r="W41" s="152" t="n"/>
      <c r="X41" s="141" t="n"/>
      <c r="Y41" s="141" t="n"/>
      <c r="Z41" s="141" t="n"/>
      <c r="AA41" s="141" t="n"/>
    </row>
    <row r="42" ht="18" customFormat="1" customHeight="1" s="173">
      <c r="A42" s="171" t="n"/>
      <c r="B42" s="153" t="inlineStr">
        <is>
          <t>Ni (Niquel)</t>
        </is>
      </c>
      <c r="C42" s="154" t="n">
        <v>0</v>
      </c>
      <c r="D42" s="154" t="n"/>
      <c r="E42" s="154" t="n"/>
      <c r="F42" s="154" t="n"/>
      <c r="G42" s="154" t="n"/>
      <c r="H42" s="154" t="n"/>
      <c r="I42" s="154" t="n"/>
      <c r="J42" s="154" t="n"/>
      <c r="K42" s="154" t="n"/>
      <c r="L42" s="154" t="n"/>
      <c r="M42" s="140" t="n"/>
      <c r="N42" s="164" t="n"/>
      <c r="O42" s="178" t="n"/>
      <c r="P42" s="164" t="n"/>
      <c r="Q42" s="178" t="n"/>
      <c r="R42" s="172" t="n"/>
      <c r="S42" s="151" t="n"/>
      <c r="T42" s="141" t="n"/>
      <c r="U42" s="141" t="n"/>
      <c r="V42" s="141" t="n"/>
      <c r="W42" s="152" t="n"/>
      <c r="X42" s="141" t="n"/>
      <c r="Y42" s="141" t="n"/>
      <c r="Z42" s="141" t="n"/>
      <c r="AA42" s="141" t="n"/>
    </row>
    <row r="43" ht="18" customFormat="1" customHeight="1" s="173">
      <c r="A43" s="171" t="n"/>
      <c r="B43" s="158" t="n"/>
      <c r="C43" s="158" t="n"/>
      <c r="D43" s="158" t="n"/>
      <c r="E43" s="158" t="n"/>
      <c r="F43" s="158" t="n"/>
      <c r="G43" s="158" t="n"/>
      <c r="H43" s="158" t="n"/>
      <c r="I43" s="158" t="n"/>
      <c r="J43" s="158" t="n"/>
      <c r="K43" s="158" t="n"/>
      <c r="L43" s="158" t="n"/>
      <c r="M43" s="141" t="n"/>
      <c r="N43" s="180" t="n"/>
      <c r="O43" s="180" t="n"/>
      <c r="P43" s="180" t="n"/>
      <c r="Q43" s="180" t="n"/>
      <c r="R43" s="172" t="n"/>
      <c r="S43" s="151" t="n"/>
      <c r="T43" s="141" t="n"/>
      <c r="U43" s="141" t="n"/>
      <c r="V43" s="141" t="n"/>
      <c r="W43" s="152" t="n"/>
      <c r="X43" s="141" t="n"/>
      <c r="Y43" s="141" t="n"/>
      <c r="Z43" s="141" t="n"/>
      <c r="AA43" s="141" t="n"/>
    </row>
    <row r="44" ht="18" customHeight="1">
      <c r="A44" s="142" t="n"/>
      <c r="B44" s="275" t="inlineStr">
        <is>
          <t>DESGATE DEL EQUIPO  - PPM (mg/kg)</t>
        </is>
      </c>
      <c r="C44" s="446" t="n"/>
      <c r="D44" s="446" t="n"/>
      <c r="E44" s="446" t="n"/>
      <c r="F44" s="446" t="n"/>
      <c r="G44" s="446" t="n"/>
      <c r="H44" s="446" t="n"/>
      <c r="I44" s="446" t="n"/>
      <c r="J44" s="446" t="n"/>
      <c r="K44" s="446" t="n"/>
      <c r="L44" s="447" t="n"/>
      <c r="N44" s="276" t="inlineStr">
        <is>
          <t>* Rangos Generales</t>
        </is>
      </c>
      <c r="O44" s="436" t="n"/>
      <c r="P44" s="436" t="n"/>
      <c r="Q44" s="437" t="n"/>
      <c r="R44" s="155" t="n"/>
      <c r="S44" s="151" t="n"/>
      <c r="T44" s="141" t="n"/>
      <c r="U44" s="141" t="n"/>
      <c r="V44" s="141" t="n"/>
      <c r="W44" s="152" t="n"/>
      <c r="X44" s="141" t="n"/>
      <c r="Y44" s="141" t="n"/>
      <c r="Z44" s="141" t="n"/>
      <c r="AA44" s="141" t="n"/>
    </row>
    <row r="45" ht="18" customHeight="1">
      <c r="A45" s="142" t="n"/>
      <c r="B45" s="448" t="n"/>
      <c r="C45" s="449" t="n"/>
      <c r="D45" s="449" t="n"/>
      <c r="E45" s="449" t="n"/>
      <c r="F45" s="449" t="n"/>
      <c r="G45" s="449" t="n"/>
      <c r="H45" s="449" t="n"/>
      <c r="I45" s="449" t="n"/>
      <c r="J45" s="449" t="n"/>
      <c r="K45" s="449" t="n"/>
      <c r="L45" s="450" t="n"/>
      <c r="M45" s="149" t="n"/>
      <c r="N45" s="276" t="inlineStr">
        <is>
          <t>Precaución</t>
        </is>
      </c>
      <c r="O45" s="437" t="n"/>
      <c r="P45" s="276" t="inlineStr">
        <is>
          <t>Anormal</t>
        </is>
      </c>
      <c r="Q45" s="437" t="n"/>
      <c r="R45" s="181" t="n"/>
      <c r="S45" s="151" t="n"/>
      <c r="T45" s="141" t="n"/>
      <c r="U45" s="141" t="n"/>
      <c r="V45" s="141" t="n"/>
      <c r="W45" s="152" t="n"/>
      <c r="X45" s="141" t="n"/>
      <c r="Y45" s="141" t="n"/>
      <c r="Z45" s="141" t="n"/>
      <c r="AA45" s="141" t="n"/>
    </row>
    <row r="46" ht="18" customHeight="1">
      <c r="A46" s="142" t="n"/>
      <c r="B46" s="153" t="inlineStr">
        <is>
          <t>Fe (Hierro)</t>
        </is>
      </c>
      <c r="C46" s="154" t="n">
        <v>0</v>
      </c>
      <c r="D46" s="154" t="n"/>
      <c r="E46" s="154" t="n"/>
      <c r="F46" s="154" t="n"/>
      <c r="G46" s="154" t="n"/>
      <c r="H46" s="154" t="n"/>
      <c r="I46" s="154" t="n"/>
      <c r="J46" s="154" t="n"/>
      <c r="K46" s="154" t="n"/>
      <c r="L46" s="154" t="n"/>
      <c r="M46" s="149" t="n"/>
      <c r="N46" s="164" t="n"/>
      <c r="O46" s="177" t="n"/>
      <c r="P46" s="164" t="n"/>
      <c r="Q46" s="177" t="n"/>
      <c r="R46" s="155" t="n"/>
      <c r="S46" s="151" t="n"/>
      <c r="T46" s="141" t="n"/>
      <c r="U46" s="141" t="n"/>
      <c r="V46" s="141" t="n"/>
      <c r="W46" s="152" t="n"/>
      <c r="X46" s="141" t="n"/>
      <c r="Y46" s="141" t="n"/>
      <c r="Z46" s="141" t="n"/>
      <c r="AA46" s="141" t="n"/>
    </row>
    <row r="47" ht="18" customHeight="1">
      <c r="A47" s="142" t="n"/>
      <c r="B47" s="153" t="inlineStr">
        <is>
          <t>Cr (Cromo)</t>
        </is>
      </c>
      <c r="C47" s="154" t="n">
        <v>0</v>
      </c>
      <c r="D47" s="154" t="n"/>
      <c r="E47" s="154" t="n"/>
      <c r="F47" s="154" t="n"/>
      <c r="G47" s="154" t="n"/>
      <c r="H47" s="154" t="n"/>
      <c r="I47" s="154" t="n"/>
      <c r="J47" s="154" t="n"/>
      <c r="K47" s="154" t="n"/>
      <c r="L47" s="154" t="n"/>
      <c r="M47" s="149" t="n"/>
      <c r="N47" s="164" t="n"/>
      <c r="O47" s="177" t="n"/>
      <c r="P47" s="164" t="n"/>
      <c r="Q47" s="177" t="n"/>
      <c r="R47" s="155" t="n"/>
      <c r="S47" s="151" t="n"/>
      <c r="T47" s="141" t="n"/>
      <c r="U47" s="141" t="n"/>
      <c r="V47" s="141" t="n"/>
      <c r="W47" s="152" t="n"/>
      <c r="X47" s="141" t="n"/>
      <c r="Y47" s="141" t="n"/>
      <c r="Z47" s="141" t="n"/>
      <c r="AA47" s="141" t="n"/>
    </row>
    <row r="48" ht="18" customHeight="1">
      <c r="A48" s="142" t="n"/>
      <c r="B48" s="153" t="inlineStr">
        <is>
          <t>Al (Aluminio)</t>
        </is>
      </c>
      <c r="C48" s="154" t="n">
        <v>0</v>
      </c>
      <c r="D48" s="154" t="n"/>
      <c r="E48" s="154" t="n"/>
      <c r="F48" s="154" t="n"/>
      <c r="G48" s="154" t="n"/>
      <c r="H48" s="154" t="n"/>
      <c r="I48" s="154" t="n"/>
      <c r="J48" s="154" t="n"/>
      <c r="K48" s="154" t="n"/>
      <c r="L48" s="154" t="n"/>
      <c r="M48" s="149" t="n"/>
      <c r="N48" s="164" t="n"/>
      <c r="O48" s="177" t="n"/>
      <c r="P48" s="164" t="n"/>
      <c r="Q48" s="177" t="n"/>
      <c r="R48" s="155" t="n"/>
      <c r="S48" s="151" t="n"/>
      <c r="T48" s="141" t="n"/>
      <c r="U48" s="141" t="n"/>
      <c r="V48" s="141" t="n"/>
      <c r="W48" s="152" t="n"/>
      <c r="X48" s="141" t="n"/>
      <c r="Y48" s="141" t="n"/>
      <c r="Z48" s="141" t="n"/>
      <c r="AA48" s="141" t="n"/>
    </row>
    <row r="49" ht="18" customHeight="1">
      <c r="A49" s="142" t="n"/>
      <c r="B49" s="153" t="inlineStr">
        <is>
          <t>Cu (Cobre)</t>
        </is>
      </c>
      <c r="C49" s="154" t="n">
        <v>0</v>
      </c>
      <c r="D49" s="154" t="n"/>
      <c r="E49" s="154" t="n"/>
      <c r="F49" s="154" t="n"/>
      <c r="G49" s="154" t="n"/>
      <c r="H49" s="154" t="n"/>
      <c r="I49" s="154" t="n"/>
      <c r="J49" s="154" t="n"/>
      <c r="K49" s="154" t="n"/>
      <c r="L49" s="154" t="n"/>
      <c r="M49" s="167" t="n"/>
      <c r="N49" s="164" t="n"/>
      <c r="O49" s="177" t="n"/>
      <c r="P49" s="164" t="n"/>
      <c r="Q49" s="177" t="n"/>
      <c r="R49" s="155" t="n"/>
      <c r="S49" s="151" t="n"/>
      <c r="T49" s="141" t="n"/>
      <c r="U49" s="141" t="n"/>
      <c r="V49" s="141" t="n"/>
      <c r="W49" s="152" t="n"/>
      <c r="X49" s="141" t="n"/>
      <c r="Y49" s="141" t="n"/>
      <c r="Z49" s="141" t="n"/>
      <c r="AA49" s="141" t="n"/>
    </row>
    <row r="50" ht="18" customHeight="1">
      <c r="A50" s="142" t="n"/>
      <c r="B50" s="153" t="inlineStr">
        <is>
          <t>Pb (Plomo)</t>
        </is>
      </c>
      <c r="C50" s="154" t="n">
        <v>0</v>
      </c>
      <c r="D50" s="154" t="n"/>
      <c r="E50" s="154" t="n"/>
      <c r="F50" s="154" t="n"/>
      <c r="G50" s="154" t="n"/>
      <c r="H50" s="154" t="n"/>
      <c r="I50" s="154" t="n"/>
      <c r="J50" s="154" t="n"/>
      <c r="K50" s="154" t="n"/>
      <c r="L50" s="154" t="n"/>
      <c r="M50" s="149" t="n"/>
      <c r="N50" s="164" t="n"/>
      <c r="O50" s="177" t="n"/>
      <c r="P50" s="164" t="n"/>
      <c r="Q50" s="177" t="n"/>
      <c r="R50" s="155" t="n"/>
      <c r="S50" s="151" t="n"/>
      <c r="T50" s="141" t="n"/>
      <c r="U50" s="141" t="n"/>
      <c r="V50" s="141" t="n"/>
      <c r="W50" s="152" t="n"/>
      <c r="X50" s="141" t="n"/>
      <c r="Y50" s="141" t="n"/>
      <c r="Z50" s="141" t="n"/>
      <c r="AA50" s="141" t="n"/>
    </row>
    <row r="51" ht="18" customFormat="1" customHeight="1" s="173">
      <c r="A51" s="171" t="n"/>
      <c r="B51" s="153" t="inlineStr">
        <is>
          <t>Estaño (Sn)</t>
        </is>
      </c>
      <c r="C51" s="154" t="n">
        <v>0</v>
      </c>
      <c r="D51" s="154" t="n"/>
      <c r="E51" s="154" t="n"/>
      <c r="F51" s="154" t="n"/>
      <c r="G51" s="154" t="n"/>
      <c r="H51" s="154" t="n"/>
      <c r="I51" s="154" t="n"/>
      <c r="J51" s="154" t="n"/>
      <c r="K51" s="154" t="n"/>
      <c r="L51" s="154" t="n"/>
      <c r="M51" s="149" t="n"/>
      <c r="N51" s="164" t="n"/>
      <c r="O51" s="177" t="n"/>
      <c r="P51" s="164" t="n"/>
      <c r="Q51" s="177" t="n"/>
      <c r="R51" s="172" t="n"/>
      <c r="S51" s="151" t="n"/>
      <c r="T51" s="141" t="n"/>
      <c r="U51" s="141" t="n"/>
      <c r="V51" s="141" t="n"/>
      <c r="W51" s="152" t="n"/>
      <c r="X51" s="141" t="n"/>
      <c r="Y51" s="141" t="n"/>
      <c r="Z51" s="141" t="n"/>
    </row>
    <row r="52" ht="18" customHeight="1">
      <c r="A52" s="142" t="n"/>
      <c r="B52" s="158" t="n"/>
      <c r="C52" s="158" t="n"/>
      <c r="D52" s="158" t="n"/>
      <c r="E52" s="158" t="n"/>
      <c r="F52" s="158" t="n"/>
      <c r="G52" s="158" t="n"/>
      <c r="H52" s="158" t="n"/>
      <c r="I52" s="158" t="n"/>
      <c r="J52" s="158" t="n"/>
      <c r="K52" s="158" t="n"/>
      <c r="L52" s="158" t="n"/>
      <c r="N52" s="174" t="n"/>
      <c r="O52" s="182" t="n"/>
      <c r="P52" s="183" t="n"/>
      <c r="Q52" s="183" t="n"/>
      <c r="R52" s="155" t="n"/>
      <c r="S52" s="151" t="n"/>
      <c r="T52" s="141" t="n"/>
      <c r="U52" s="141" t="n"/>
      <c r="V52" s="141" t="n"/>
      <c r="W52" s="152" t="n"/>
      <c r="X52" s="141" t="n"/>
      <c r="Y52" s="141" t="n"/>
      <c r="Z52" s="141" t="n"/>
      <c r="AA52" s="141" t="n"/>
    </row>
    <row r="53" ht="18" customFormat="1" customHeight="1" s="173">
      <c r="A53" s="171" t="n"/>
      <c r="B53" s="275" t="inlineStr">
        <is>
          <t>OTROS ELEMENTOS - PPM (mg/kg)</t>
        </is>
      </c>
      <c r="C53" s="446" t="n"/>
      <c r="D53" s="446" t="n"/>
      <c r="E53" s="446" t="n"/>
      <c r="F53" s="446" t="n"/>
      <c r="G53" s="446" t="n"/>
      <c r="H53" s="446" t="n"/>
      <c r="I53" s="446" t="n"/>
      <c r="J53" s="446" t="n"/>
      <c r="K53" s="446" t="n"/>
      <c r="L53" s="447" t="n"/>
      <c r="M53" s="140" t="n"/>
      <c r="N53" s="276" t="inlineStr">
        <is>
          <t>* Rangos Generales</t>
        </is>
      </c>
      <c r="O53" s="436" t="n"/>
      <c r="P53" s="436" t="n"/>
      <c r="Q53" s="437" t="n"/>
      <c r="R53" s="172" t="n"/>
      <c r="S53" s="151" t="n"/>
      <c r="T53" s="141" t="n"/>
      <c r="U53" s="141" t="n"/>
      <c r="V53" s="141" t="n"/>
      <c r="W53" s="152" t="n"/>
      <c r="X53" s="141" t="n"/>
      <c r="Y53" s="141" t="n"/>
      <c r="Z53" s="141" t="n"/>
      <c r="AA53" s="141" t="n"/>
    </row>
    <row r="54" ht="18" customFormat="1" customHeight="1" s="173">
      <c r="A54" s="171" t="n"/>
      <c r="B54" s="448" t="n"/>
      <c r="C54" s="449" t="n"/>
      <c r="D54" s="449" t="n"/>
      <c r="E54" s="449" t="n"/>
      <c r="F54" s="449" t="n"/>
      <c r="G54" s="449" t="n"/>
      <c r="H54" s="449" t="n"/>
      <c r="I54" s="449" t="n"/>
      <c r="J54" s="449" t="n"/>
      <c r="K54" s="449" t="n"/>
      <c r="L54" s="450" t="n"/>
      <c r="M54" s="149" t="n"/>
      <c r="N54" s="276" t="inlineStr">
        <is>
          <t>Precaución</t>
        </is>
      </c>
      <c r="O54" s="437" t="n"/>
      <c r="P54" s="276" t="inlineStr">
        <is>
          <t>Anormal</t>
        </is>
      </c>
      <c r="Q54" s="437" t="n"/>
      <c r="R54" s="172" t="n"/>
      <c r="S54" s="151" t="n"/>
      <c r="T54" s="141" t="n"/>
      <c r="U54" s="141" t="n"/>
      <c r="V54" s="141" t="n"/>
      <c r="W54" s="152" t="n"/>
      <c r="X54" s="141" t="n"/>
      <c r="Y54" s="141" t="n"/>
      <c r="Z54" s="141" t="n"/>
    </row>
    <row r="55" ht="18" customFormat="1" customHeight="1" s="173">
      <c r="A55" s="171" t="n"/>
      <c r="B55" s="153" t="inlineStr">
        <is>
          <t>Mo (Molibdeno)</t>
        </is>
      </c>
      <c r="C55" s="154" t="n">
        <v>0</v>
      </c>
      <c r="D55" s="154" t="n"/>
      <c r="E55" s="154" t="n"/>
      <c r="F55" s="154" t="n"/>
      <c r="G55" s="154" t="n"/>
      <c r="H55" s="154" t="n"/>
      <c r="I55" s="154" t="n"/>
      <c r="J55" s="154" t="n"/>
      <c r="K55" s="154" t="n"/>
      <c r="L55" s="154" t="n"/>
      <c r="M55" s="149" t="n"/>
      <c r="N55" s="164" t="n"/>
      <c r="O55" s="178" t="n"/>
      <c r="P55" s="164" t="n"/>
      <c r="Q55" s="178" t="n"/>
      <c r="R55" s="172" t="n"/>
      <c r="S55" s="151" t="n"/>
      <c r="T55" s="141" t="n"/>
      <c r="U55" s="141" t="n"/>
      <c r="V55" s="141" t="n"/>
      <c r="W55" s="152" t="n"/>
      <c r="X55" s="141" t="n"/>
      <c r="Y55" s="141" t="n"/>
      <c r="Z55" s="141" t="n"/>
    </row>
    <row r="56" ht="18" customFormat="1" customHeight="1" s="173">
      <c r="A56" s="171" t="n"/>
      <c r="B56" s="153" t="inlineStr">
        <is>
          <t>B (Boro)</t>
        </is>
      </c>
      <c r="C56" s="154" t="n">
        <v>0</v>
      </c>
      <c r="D56" s="154" t="n"/>
      <c r="E56" s="154" t="n"/>
      <c r="F56" s="154" t="n"/>
      <c r="G56" s="154" t="n"/>
      <c r="H56" s="154" t="n"/>
      <c r="I56" s="154" t="n"/>
      <c r="J56" s="154" t="n"/>
      <c r="K56" s="154" t="n"/>
      <c r="L56" s="154" t="n"/>
      <c r="M56" s="149" t="n"/>
      <c r="N56" s="164" t="n"/>
      <c r="O56" s="178" t="n"/>
      <c r="P56" s="164" t="n"/>
      <c r="Q56" s="178" t="n"/>
      <c r="R56" s="172" t="n"/>
      <c r="S56" s="151" t="n"/>
      <c r="T56" s="141" t="n"/>
      <c r="U56" s="141" t="n"/>
      <c r="V56" s="141" t="n"/>
      <c r="W56" s="152" t="n"/>
      <c r="X56" s="141" t="n"/>
      <c r="Y56" s="141" t="n"/>
      <c r="Z56" s="141" t="n"/>
    </row>
    <row r="57" ht="18" customFormat="1" customHeight="1" s="173">
      <c r="A57" s="171" t="n"/>
      <c r="B57" s="153" t="inlineStr">
        <is>
          <t>Ba (Bario)</t>
        </is>
      </c>
      <c r="C57" s="154" t="n">
        <v>0</v>
      </c>
      <c r="D57" s="154" t="n"/>
      <c r="E57" s="154" t="n"/>
      <c r="F57" s="154" t="n"/>
      <c r="G57" s="154" t="n"/>
      <c r="H57" s="154" t="n"/>
      <c r="I57" s="154" t="n"/>
      <c r="J57" s="154" t="n"/>
      <c r="K57" s="154" t="n"/>
      <c r="L57" s="154" t="n"/>
      <c r="M57" s="149" t="n"/>
      <c r="N57" s="164" t="n"/>
      <c r="O57" s="178" t="n"/>
      <c r="P57" s="164" t="n"/>
      <c r="Q57" s="178" t="n"/>
      <c r="R57" s="172" t="n"/>
      <c r="S57" s="151" t="n"/>
      <c r="T57" s="141" t="n"/>
      <c r="U57" s="141" t="n"/>
      <c r="V57" s="141" t="n"/>
      <c r="W57" s="152" t="n"/>
      <c r="X57" s="141" t="n"/>
      <c r="Y57" s="141" t="n"/>
      <c r="Z57" s="141" t="n"/>
    </row>
    <row r="58" ht="18" customFormat="1" customHeight="1" s="173">
      <c r="A58" s="171" t="n"/>
      <c r="B58" s="153" t="inlineStr">
        <is>
          <t>Ti (Titaniao)</t>
        </is>
      </c>
      <c r="C58" s="154" t="n">
        <v>0</v>
      </c>
      <c r="D58" s="154" t="n"/>
      <c r="E58" s="154" t="n"/>
      <c r="F58" s="154" t="n"/>
      <c r="G58" s="154" t="n"/>
      <c r="H58" s="154" t="n"/>
      <c r="I58" s="154" t="n"/>
      <c r="J58" s="154" t="n"/>
      <c r="K58" s="154" t="n"/>
      <c r="L58" s="154" t="n"/>
      <c r="M58" s="140" t="n"/>
      <c r="N58" s="164" t="n"/>
      <c r="O58" s="178" t="n"/>
      <c r="P58" s="164" t="n"/>
      <c r="Q58" s="178" t="n"/>
      <c r="R58" s="172" t="n"/>
      <c r="S58" s="151" t="n"/>
      <c r="T58" s="141" t="n"/>
      <c r="U58" s="141" t="n"/>
      <c r="V58" s="141" t="n"/>
      <c r="W58" s="152" t="n"/>
      <c r="X58" s="141" t="n"/>
      <c r="Y58" s="141" t="n"/>
      <c r="Z58" s="141" t="n"/>
      <c r="AA58" s="141" t="n"/>
    </row>
    <row r="59" ht="18" customFormat="1" customHeight="1" s="173">
      <c r="A59" s="171" t="n"/>
      <c r="B59" s="153" t="inlineStr">
        <is>
          <t>Ag (Plata)</t>
        </is>
      </c>
      <c r="C59" s="154" t="n">
        <v>0</v>
      </c>
      <c r="D59" s="154" t="n"/>
      <c r="E59" s="154" t="n"/>
      <c r="F59" s="154" t="n"/>
      <c r="G59" s="154" t="n"/>
      <c r="H59" s="154" t="n"/>
      <c r="I59" s="154" t="n"/>
      <c r="J59" s="154" t="n"/>
      <c r="K59" s="154" t="n"/>
      <c r="L59" s="154" t="n"/>
      <c r="M59" s="149" t="n"/>
      <c r="N59" s="164" t="n"/>
      <c r="O59" s="178" t="n"/>
      <c r="P59" s="164" t="n"/>
      <c r="Q59" s="178" t="n"/>
      <c r="R59" s="172" t="n"/>
      <c r="S59" s="151" t="n"/>
      <c r="T59" s="141" t="n"/>
      <c r="U59" s="141" t="n"/>
      <c r="V59" s="141" t="n"/>
      <c r="W59" s="152" t="n"/>
      <c r="X59" s="141" t="n"/>
      <c r="Y59" s="141" t="n"/>
      <c r="Z59" s="141" t="n"/>
      <c r="AA59" s="141" t="n"/>
    </row>
    <row r="60" ht="18" customFormat="1" customHeight="1" s="173">
      <c r="A60" s="171" t="n"/>
      <c r="B60" s="158" t="n"/>
      <c r="C60" s="158" t="n"/>
      <c r="D60" s="158" t="n"/>
      <c r="E60" s="158" t="n"/>
      <c r="F60" s="158" t="n"/>
      <c r="G60" s="158" t="n"/>
      <c r="H60" s="158" t="n"/>
      <c r="I60" s="158" t="n"/>
      <c r="J60" s="158" t="n"/>
      <c r="K60" s="158" t="n"/>
      <c r="L60" s="158" t="n"/>
      <c r="M60" s="141" t="n"/>
      <c r="N60" s="141" t="n"/>
      <c r="O60" s="141" t="n"/>
      <c r="P60" s="141" t="n"/>
      <c r="Q60" s="141" t="n"/>
      <c r="R60" s="172" t="n"/>
      <c r="S60" s="151" t="n"/>
      <c r="T60" s="141" t="n"/>
      <c r="U60" s="141" t="n"/>
      <c r="V60" s="141" t="n"/>
      <c r="W60" s="152" t="n"/>
      <c r="X60" s="141" t="n"/>
      <c r="Y60" s="141" t="n"/>
      <c r="Z60" s="141" t="n"/>
      <c r="AA60" s="141" t="n"/>
    </row>
    <row r="61" ht="18" customFormat="1" customHeight="1" s="173">
      <c r="A61" s="171" t="n"/>
      <c r="B61" s="275" t="inlineStr">
        <is>
          <t>PRESENCIA DE ADITIVOS - PPM (mg/kg)</t>
        </is>
      </c>
      <c r="C61" s="446" t="n"/>
      <c r="D61" s="446" t="n"/>
      <c r="E61" s="446" t="n"/>
      <c r="F61" s="446" t="n"/>
      <c r="G61" s="446" t="n"/>
      <c r="H61" s="446" t="n"/>
      <c r="I61" s="446" t="n"/>
      <c r="J61" s="446" t="n"/>
      <c r="K61" s="446" t="n"/>
      <c r="L61" s="447" t="n"/>
      <c r="M61" s="141" t="n"/>
      <c r="N61" s="141" t="n"/>
      <c r="O61" s="141" t="n"/>
      <c r="P61" s="141" t="n"/>
      <c r="Q61" s="141" t="n"/>
      <c r="R61" s="172" t="n"/>
      <c r="S61" s="151" t="n"/>
      <c r="T61" s="141" t="n"/>
      <c r="U61" s="141" t="n"/>
      <c r="V61" s="141" t="n"/>
      <c r="W61" s="152" t="n"/>
      <c r="X61" s="141" t="n"/>
      <c r="Y61" s="141" t="n"/>
      <c r="Z61" s="141" t="n"/>
      <c r="AA61" s="141" t="n"/>
    </row>
    <row r="62" ht="18" customHeight="1">
      <c r="A62" s="142" t="n"/>
      <c r="B62" s="448" t="n"/>
      <c r="C62" s="449" t="n"/>
      <c r="D62" s="449" t="n"/>
      <c r="E62" s="449" t="n"/>
      <c r="F62" s="449" t="n"/>
      <c r="G62" s="449" t="n"/>
      <c r="H62" s="449" t="n"/>
      <c r="I62" s="449" t="n"/>
      <c r="J62" s="449" t="n"/>
      <c r="K62" s="449" t="n"/>
      <c r="L62" s="450" t="n"/>
      <c r="M62" s="141" t="n"/>
      <c r="N62" s="141" t="n"/>
      <c r="O62" s="141" t="n"/>
      <c r="P62" s="141" t="n"/>
      <c r="Q62" s="141" t="n"/>
      <c r="R62" s="155" t="n"/>
      <c r="S62" s="151" t="n"/>
      <c r="T62" s="141" t="n"/>
      <c r="U62" s="141" t="n"/>
      <c r="V62" s="141" t="n"/>
      <c r="W62" s="152" t="n"/>
      <c r="X62" s="141" t="n"/>
      <c r="Y62" s="141" t="n"/>
      <c r="Z62" s="141" t="n"/>
      <c r="AA62" s="141" t="n"/>
    </row>
    <row r="63" ht="18" customHeight="1">
      <c r="A63" s="142" t="n"/>
      <c r="B63" s="153" t="inlineStr">
        <is>
          <t>Ca (Calcio)</t>
        </is>
      </c>
      <c r="C63" s="154" t="n">
        <v>0</v>
      </c>
      <c r="D63" s="154" t="n"/>
      <c r="E63" s="154" t="n"/>
      <c r="F63" s="154" t="n"/>
      <c r="G63" s="154" t="n"/>
      <c r="H63" s="154" t="n"/>
      <c r="I63" s="154" t="n"/>
      <c r="J63" s="154" t="n"/>
      <c r="K63" s="154" t="n"/>
      <c r="L63" s="154" t="n"/>
      <c r="M63" s="141" t="n"/>
      <c r="N63" s="141" t="n"/>
      <c r="O63" s="141" t="n"/>
      <c r="P63" s="141" t="n"/>
      <c r="Q63" s="141" t="n"/>
      <c r="R63" s="155" t="n"/>
      <c r="S63" s="151" t="n"/>
      <c r="T63" s="141" t="n"/>
      <c r="U63" s="141" t="n"/>
      <c r="V63" s="141" t="n"/>
      <c r="W63" s="152" t="n"/>
      <c r="X63" s="141" t="n"/>
      <c r="Y63" s="141" t="n"/>
      <c r="Z63" s="141" t="n"/>
      <c r="AA63" s="141" t="n"/>
    </row>
    <row r="64" ht="18" customHeight="1">
      <c r="A64" s="142" t="n"/>
      <c r="B64" s="153" t="inlineStr">
        <is>
          <t>Mg (Magnesio)</t>
        </is>
      </c>
      <c r="C64" s="154" t="n">
        <v>0</v>
      </c>
      <c r="D64" s="154" t="n"/>
      <c r="E64" s="154" t="n"/>
      <c r="F64" s="154" t="n"/>
      <c r="G64" s="154" t="n"/>
      <c r="H64" s="154" t="n"/>
      <c r="I64" s="154" t="n"/>
      <c r="J64" s="154" t="n"/>
      <c r="K64" s="154" t="n"/>
      <c r="L64" s="154" t="n"/>
      <c r="M64" s="141" t="n"/>
      <c r="N64" s="141" t="n"/>
      <c r="O64" s="141" t="n"/>
      <c r="P64" s="141" t="n"/>
      <c r="Q64" s="141" t="n"/>
      <c r="R64" s="155" t="n"/>
      <c r="S64" s="151" t="n"/>
      <c r="T64" s="141" t="n"/>
      <c r="U64" s="141" t="n"/>
      <c r="V64" s="141" t="n"/>
      <c r="W64" s="152" t="n"/>
      <c r="X64" s="141" t="n"/>
      <c r="Y64" s="141" t="n"/>
      <c r="Z64" s="141" t="n"/>
      <c r="AA64" s="141" t="n"/>
    </row>
    <row r="65" ht="18" customHeight="1">
      <c r="A65" s="142" t="n"/>
      <c r="B65" s="153" t="inlineStr">
        <is>
          <t>Zn (Zinc)</t>
        </is>
      </c>
      <c r="C65" s="154" t="n">
        <v>0</v>
      </c>
      <c r="D65" s="154" t="n"/>
      <c r="E65" s="154" t="n"/>
      <c r="F65" s="154" t="n"/>
      <c r="G65" s="154" t="n"/>
      <c r="H65" s="154" t="n"/>
      <c r="I65" s="154" t="n"/>
      <c r="J65" s="154" t="n"/>
      <c r="K65" s="154" t="n"/>
      <c r="L65" s="154" t="n"/>
      <c r="M65" s="141" t="n"/>
      <c r="N65" s="141" t="n"/>
      <c r="O65" s="141" t="n"/>
      <c r="P65" s="141" t="n"/>
      <c r="Q65" s="141" t="n"/>
      <c r="R65" s="155" t="n"/>
      <c r="S65" s="151" t="n"/>
      <c r="T65" s="141" t="n"/>
      <c r="U65" s="141" t="n"/>
      <c r="V65" s="141" t="n"/>
      <c r="W65" s="152" t="n"/>
      <c r="X65" s="141" t="n"/>
      <c r="Y65" s="141" t="n"/>
      <c r="Z65" s="141" t="n"/>
      <c r="AA65" s="141" t="n"/>
    </row>
    <row r="66" ht="18" customHeight="1">
      <c r="A66" s="142" t="n"/>
      <c r="B66" s="153" t="inlineStr">
        <is>
          <t>P (Fosforo)</t>
        </is>
      </c>
      <c r="C66" s="154" t="n">
        <v>0</v>
      </c>
      <c r="D66" s="154" t="n"/>
      <c r="E66" s="154" t="n"/>
      <c r="F66" s="154" t="n"/>
      <c r="G66" s="154" t="n"/>
      <c r="H66" s="154" t="n"/>
      <c r="I66" s="154" t="n"/>
      <c r="J66" s="154" t="n"/>
      <c r="K66" s="154" t="n"/>
      <c r="L66" s="154" t="n"/>
      <c r="M66" s="141" t="n"/>
      <c r="N66" s="141" t="n"/>
      <c r="O66" s="141" t="n"/>
      <c r="P66" s="141" t="n"/>
      <c r="Q66" s="141" t="n"/>
      <c r="R66" s="155" t="n"/>
      <c r="S66" s="151" t="n"/>
      <c r="T66" s="141" t="n"/>
      <c r="U66" s="141" t="n"/>
      <c r="V66" s="141" t="n"/>
      <c r="W66" s="152" t="n"/>
      <c r="X66" s="141" t="n"/>
      <c r="Y66" s="141" t="n"/>
      <c r="Z66" s="141" t="n"/>
      <c r="AA66" s="141" t="n"/>
    </row>
    <row r="67" ht="18" customHeight="1" thickBot="1">
      <c r="A67" s="184" t="n"/>
      <c r="B67" s="185" t="n"/>
      <c r="C67" s="185" t="n"/>
      <c r="D67" s="185" t="n"/>
      <c r="E67" s="185" t="n"/>
      <c r="F67" s="185" t="n"/>
      <c r="G67" s="185" t="n"/>
      <c r="H67" s="185" t="n"/>
      <c r="I67" s="185" t="n"/>
      <c r="J67" s="185" t="n"/>
      <c r="K67" s="185" t="n"/>
      <c r="L67" s="185" t="n"/>
      <c r="M67" s="186" t="n"/>
      <c r="N67" s="186" t="n"/>
      <c r="O67" s="187" t="n"/>
      <c r="P67" s="187" t="n"/>
      <c r="Q67" s="187" t="n"/>
      <c r="R67" s="188" t="n"/>
      <c r="S67" s="151" t="n"/>
      <c r="T67" s="141" t="n"/>
      <c r="U67" s="141" t="n"/>
      <c r="V67" s="141" t="n"/>
      <c r="W67" s="152" t="n"/>
      <c r="X67" s="141" t="n"/>
      <c r="Y67" s="141" t="n"/>
      <c r="Z67" s="141" t="n"/>
      <c r="AA67" s="141" t="n"/>
    </row>
    <row r="68" ht="15" customHeight="1">
      <c r="A68" s="189" t="n"/>
      <c r="B68" s="190" t="n"/>
      <c r="C68" s="190" t="n"/>
      <c r="D68" s="190" t="n"/>
      <c r="E68" s="190" t="n"/>
      <c r="F68" s="190" t="n"/>
      <c r="G68" s="190" t="n"/>
      <c r="H68" s="190" t="n"/>
      <c r="I68" s="190" t="n"/>
      <c r="J68" s="190" t="n"/>
      <c r="K68" s="190" t="n"/>
      <c r="L68" s="190" t="n"/>
      <c r="M68" s="190" t="n"/>
      <c r="N68" s="190" t="n"/>
      <c r="O68" s="190" t="n"/>
      <c r="P68" s="190" t="n"/>
      <c r="Q68" s="190" t="n"/>
      <c r="R68" s="190" t="n"/>
      <c r="S68" s="190" t="n"/>
      <c r="T68" s="190" t="n"/>
      <c r="U68" s="190" t="n"/>
      <c r="V68" s="190" t="n"/>
      <c r="W68" s="191" t="n"/>
      <c r="X68" s="141" t="n"/>
      <c r="Y68" s="141" t="n"/>
      <c r="Z68" s="141" t="n"/>
      <c r="AA68" s="141" t="n"/>
    </row>
    <row r="69" ht="15" customHeight="1">
      <c r="A69" s="142" t="n"/>
      <c r="B69" s="149" t="inlineStr">
        <is>
          <t>ELABORADO POR:</t>
        </is>
      </c>
      <c r="D69" s="149" t="inlineStr">
        <is>
          <t>REVISADO POR:</t>
        </is>
      </c>
      <c r="E69" s="149" t="n"/>
      <c r="F69" s="149" t="n"/>
      <c r="W69" s="155" t="n"/>
      <c r="X69" s="141" t="n"/>
      <c r="Y69" s="141" t="n"/>
      <c r="Z69" s="141" t="n"/>
      <c r="AA69" s="141" t="n"/>
    </row>
    <row r="70" ht="42" customHeight="1">
      <c r="A70" s="142" t="n"/>
      <c r="G70" s="141" t="n"/>
      <c r="H70" s="141" t="n"/>
      <c r="I70" s="141" t="n"/>
      <c r="J70" s="141" t="n"/>
      <c r="K70" s="141" t="n"/>
      <c r="L70" s="141" t="n"/>
      <c r="W70" s="155" t="n"/>
      <c r="X70" s="141" t="n"/>
      <c r="Y70" s="141" t="n"/>
      <c r="Z70" s="141" t="n"/>
      <c r="AA70" s="141" t="n"/>
    </row>
    <row r="71" ht="41.25" customHeight="1" thickBot="1">
      <c r="A71" s="142" t="n"/>
      <c r="B71" s="192" t="n"/>
      <c r="D71" s="192" t="n"/>
      <c r="E71" s="192" t="n"/>
      <c r="F71" s="192" t="n"/>
      <c r="G71" s="141" t="n"/>
      <c r="H71" s="141" t="n"/>
      <c r="I71" s="141" t="n"/>
      <c r="J71" s="141" t="n"/>
      <c r="K71" s="141" t="n"/>
      <c r="L71" s="141" t="n"/>
      <c r="W71" s="155" t="n"/>
      <c r="X71" s="141" t="n"/>
      <c r="Y71" s="141" t="n"/>
      <c r="Z71" s="141" t="n"/>
      <c r="AA71" s="141" t="n"/>
    </row>
    <row r="72" ht="15" customHeight="1">
      <c r="A72" s="142" t="n"/>
      <c r="B72" s="149" t="inlineStr">
        <is>
          <t>Analista Autorizado</t>
        </is>
      </c>
      <c r="D72" s="149" t="inlineStr">
        <is>
          <t>Jefe de Servicio Post Venta</t>
        </is>
      </c>
      <c r="E72" s="149" t="n"/>
      <c r="F72" s="149" t="n"/>
      <c r="W72" s="155" t="n"/>
      <c r="X72" s="141" t="n"/>
      <c r="Y72" s="141" t="n"/>
      <c r="Z72" s="141" t="n"/>
      <c r="AA72" s="141" t="n"/>
    </row>
    <row r="73" ht="15" customHeight="1">
      <c r="A73" s="142" t="n"/>
      <c r="B73" s="149" t="inlineStr">
        <is>
          <t>Dpto. Laboratorio</t>
        </is>
      </c>
      <c r="D73" s="149" t="inlineStr">
        <is>
          <t>Dpto. Técnico y Laboratorio</t>
        </is>
      </c>
      <c r="E73" s="149" t="n"/>
      <c r="F73" s="149" t="n"/>
      <c r="W73" s="155" t="n"/>
      <c r="X73" s="141" t="n"/>
      <c r="Y73" s="141" t="n"/>
      <c r="Z73" s="141" t="n"/>
      <c r="AA73" s="141" t="n"/>
    </row>
    <row r="74" ht="12.75" customHeight="1" thickBot="1">
      <c r="A74" s="184" t="n"/>
      <c r="B74" s="193" t="inlineStr">
        <is>
          <t>Lubricantes Internacionales S.A.</t>
        </is>
      </c>
      <c r="C74" s="192" t="n"/>
      <c r="D74" s="193" t="inlineStr">
        <is>
          <t>Lubricantes Internacionales S.A.</t>
        </is>
      </c>
      <c r="E74" s="193" t="n"/>
      <c r="F74" s="193" t="n"/>
      <c r="G74" s="192" t="n"/>
      <c r="H74" s="192" t="n"/>
      <c r="I74" s="192" t="n"/>
      <c r="J74" s="192" t="n"/>
      <c r="K74" s="192" t="n"/>
      <c r="L74" s="192" t="n"/>
      <c r="M74" s="192" t="n"/>
      <c r="N74" s="192" t="n"/>
      <c r="O74" s="192" t="n"/>
      <c r="P74" s="192" t="n"/>
      <c r="Q74" s="192" t="n"/>
      <c r="R74" s="192" t="n"/>
      <c r="S74" s="192" t="n"/>
      <c r="T74" s="192" t="n"/>
      <c r="U74" s="192" t="n"/>
      <c r="V74" s="192" t="n"/>
      <c r="W74" s="188" t="n"/>
    </row>
    <row r="75" ht="15.75" customHeight="1" thickBot="1">
      <c r="A75" s="184" t="n"/>
      <c r="B75" s="194" t="inlineStr">
        <is>
          <t>VEN-FOR-006H  VERSION:1 FECHA 2021-SEPT-14</t>
        </is>
      </c>
      <c r="C75" s="192" t="n"/>
      <c r="D75" s="192" t="n"/>
      <c r="E75" s="192" t="n"/>
      <c r="F75" s="192" t="n"/>
      <c r="G75" s="192" t="n"/>
      <c r="H75" s="192" t="n"/>
      <c r="I75" s="192" t="n"/>
      <c r="J75" s="192" t="n"/>
      <c r="K75" s="192" t="n"/>
      <c r="L75" s="192" t="n"/>
      <c r="M75" s="192" t="n"/>
      <c r="N75" s="192" t="n"/>
      <c r="O75" s="192" t="n"/>
      <c r="P75" s="192" t="n"/>
      <c r="Q75" s="192" t="n"/>
      <c r="R75" s="192" t="n"/>
      <c r="S75" s="192" t="n"/>
      <c r="T75" s="192" t="n"/>
      <c r="U75" s="192" t="n"/>
      <c r="V75" s="192" t="n"/>
      <c r="W75" s="192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JgfjjmrCihok3lUW4MJlkg==" formatRows="1" sort="1" spinCount="100000" hashValue="kIXSl2PdCTQVAZSLEFm92BhvqHXQM3bABagCgRPfdV6QTSiZonwXSitu3bLp3W1UvqU4Lsj5/AedADPyfniL3g=="/>
  <mergeCells count="47">
    <mergeCell ref="P26:Q26"/>
    <mergeCell ref="H3:K3"/>
    <mergeCell ref="P38:Q38"/>
    <mergeCell ref="N54:O54"/>
    <mergeCell ref="C2:G3"/>
    <mergeCell ref="B37:L38"/>
    <mergeCell ref="B10:L11"/>
    <mergeCell ref="N30:Q30"/>
    <mergeCell ref="L6:R6"/>
    <mergeCell ref="P31:Q31"/>
    <mergeCell ref="B44:L45"/>
    <mergeCell ref="B53:L54"/>
    <mergeCell ref="H5:K5"/>
    <mergeCell ref="A1:W1"/>
    <mergeCell ref="N21:O21"/>
    <mergeCell ref="C4:G8"/>
    <mergeCell ref="S2:W2"/>
    <mergeCell ref="P21:Q21"/>
    <mergeCell ref="H8:K8"/>
    <mergeCell ref="L2:R2"/>
    <mergeCell ref="N20:Q20"/>
    <mergeCell ref="B20:L21"/>
    <mergeCell ref="L7:R7"/>
    <mergeCell ref="S5:W8"/>
    <mergeCell ref="N25:Q25"/>
    <mergeCell ref="B30:L31"/>
    <mergeCell ref="H4:K4"/>
    <mergeCell ref="N37:Q37"/>
    <mergeCell ref="N53:Q53"/>
    <mergeCell ref="N38:O38"/>
    <mergeCell ref="L3:R3"/>
    <mergeCell ref="S3:W4"/>
    <mergeCell ref="H6:K6"/>
    <mergeCell ref="P28:Q28"/>
    <mergeCell ref="N31:O31"/>
    <mergeCell ref="B9:O9"/>
    <mergeCell ref="L5:R5"/>
    <mergeCell ref="A2:B8"/>
    <mergeCell ref="B61:L62"/>
    <mergeCell ref="L8:R8"/>
    <mergeCell ref="L4:R4"/>
    <mergeCell ref="H2:K2"/>
    <mergeCell ref="N44:Q44"/>
    <mergeCell ref="H7:K7"/>
    <mergeCell ref="N45:O45"/>
    <mergeCell ref="P45:Q45"/>
    <mergeCell ref="P54:Q54"/>
  </mergeCells>
  <conditionalFormatting sqref="C22">
    <cfRule type="cellIs" priority="32" operator="greaterThan" dxfId="0" stopIfTrue="1">
      <formula>$Q$22</formula>
    </cfRule>
    <cfRule type="cellIs" priority="31" operator="lessThan" dxfId="0" stopIfTrue="1">
      <formula>$O$22</formula>
    </cfRule>
  </conditionalFormatting>
  <conditionalFormatting sqref="C23">
    <cfRule type="cellIs" priority="29" operator="lessThan" dxfId="0" stopIfTrue="1">
      <formula>$O$23</formula>
    </cfRule>
    <cfRule type="cellIs" priority="30" operator="greaterThan" dxfId="0" stopIfTrue="1">
      <formula>$Q$23</formula>
    </cfRule>
  </conditionalFormatting>
  <conditionalFormatting sqref="C18:L18">
    <cfRule type="containsText" priority="22" operator="containsText" dxfId="2" stopIfTrue="1" text="ANORMAL">
      <formula>NOT(ISERROR(SEARCH("ANORMAL",C18)))</formula>
    </cfRule>
    <cfRule type="containsText" priority="23" operator="containsText" dxfId="3" stopIfTrue="1" text="N/D">
      <formula>NOT(ISERROR(SEARCH("N/D",C18)))</formula>
    </cfRule>
    <cfRule type="containsText" priority="24" operator="containsText" dxfId="0" stopIfTrue="1" text="PRECAUCIÓN">
      <formula>NOT(ISERROR(SEARCH("PRECAUCIÓN",C18)))</formula>
    </cfRule>
    <cfRule type="containsText" priority="25" operator="containsText" dxfId="1" stopIfTrue="1" text="NORMAL">
      <formula>NOT(ISERROR(SEARCH("NORMAL",C18)))</formula>
    </cfRule>
  </conditionalFormatting>
  <conditionalFormatting sqref="C26:L26">
    <cfRule type="cellIs" priority="8" operator="equal" dxfId="2" stopIfTrue="1">
      <formula>"POSITIVO"</formula>
    </cfRule>
  </conditionalFormatting>
  <conditionalFormatting sqref="C27:L27">
    <cfRule type="cellIs" priority="11" operator="greaterThanOrEqual" dxfId="2" stopIfTrue="1">
      <formula>$Q$27</formula>
    </cfRule>
  </conditionalFormatting>
  <conditionalFormatting sqref="C28:L28">
    <cfRule type="cellIs" priority="7" operator="equal" dxfId="2" stopIfTrue="1">
      <formula>"POSITIVO"</formula>
    </cfRule>
  </conditionalFormatting>
  <conditionalFormatting sqref="C32:L32">
    <cfRule type="cellIs" priority="53" operator="greaterThanOrEqual" dxfId="2" stopIfTrue="1">
      <formula>$Q$32</formula>
    </cfRule>
    <cfRule type="cellIs" priority="54" operator="between" dxfId="0" stopIfTrue="1">
      <formula>$O$32</formula>
      <formula>$Q$32</formula>
    </cfRule>
  </conditionalFormatting>
  <conditionalFormatting sqref="C33:L33">
    <cfRule type="cellIs" priority="3" operator="greaterThanOrEqual" dxfId="2" stopIfTrue="1">
      <formula>$Q$33</formula>
    </cfRule>
    <cfRule type="cellIs" priority="4" operator="between" dxfId="0" stopIfTrue="1">
      <formula>$O$33</formula>
      <formula>$Q$33</formula>
    </cfRule>
  </conditionalFormatting>
  <conditionalFormatting sqref="C34:L34">
    <cfRule type="cellIs" priority="5" operator="greaterThanOrEqual" dxfId="2" stopIfTrue="1">
      <formula>$Q$34</formula>
    </cfRule>
    <cfRule type="cellIs" priority="6" operator="between" dxfId="0" stopIfTrue="1">
      <formula>$O$34</formula>
      <formula>$Q$34</formula>
    </cfRule>
  </conditionalFormatting>
  <conditionalFormatting sqref="C35:L35">
    <cfRule type="cellIs" priority="2" operator="between" dxfId="0" stopIfTrue="1">
      <formula>$O$35</formula>
      <formula>$Q$35</formula>
    </cfRule>
    <cfRule type="cellIs" priority="1" operator="greaterThanOrEqual" dxfId="2" stopIfTrue="1">
      <formula>$Q$35</formula>
    </cfRule>
  </conditionalFormatting>
  <conditionalFormatting sqref="C39:L39">
    <cfRule type="cellIs" priority="40" operator="greaterThanOrEqual" dxfId="2" stopIfTrue="1">
      <formula>$Q$39</formula>
    </cfRule>
    <cfRule type="cellIs" priority="41" operator="between" dxfId="0" stopIfTrue="1">
      <formula>$O$39</formula>
      <formula>$Q$39</formula>
    </cfRule>
  </conditionalFormatting>
  <conditionalFormatting sqref="C40:L40">
    <cfRule type="cellIs" priority="38" operator="greaterThanOrEqual" dxfId="2" stopIfTrue="1">
      <formula>$Q$40</formula>
    </cfRule>
    <cfRule type="cellIs" priority="39" operator="between" dxfId="0" stopIfTrue="1">
      <formula>$O$40</formula>
      <formula>$Q$40</formula>
    </cfRule>
  </conditionalFormatting>
  <conditionalFormatting sqref="C41:L41">
    <cfRule type="cellIs" priority="16" operator="greaterThanOrEqual" dxfId="2" stopIfTrue="1">
      <formula>$Q$41</formula>
    </cfRule>
    <cfRule type="cellIs" priority="17" operator="between" dxfId="0" stopIfTrue="1">
      <formula>$O$41</formula>
      <formula>$Q$41</formula>
    </cfRule>
  </conditionalFormatting>
  <conditionalFormatting sqref="C42:L42">
    <cfRule type="cellIs" priority="14" operator="greaterThanOrEqual" dxfId="2" stopIfTrue="1">
      <formula>$Q$42</formula>
    </cfRule>
    <cfRule type="cellIs" priority="15" operator="between" dxfId="0" stopIfTrue="1">
      <formula>$O$42</formula>
      <formula>$Q$42</formula>
    </cfRule>
  </conditionalFormatting>
  <conditionalFormatting sqref="C46:L46">
    <cfRule type="cellIs" priority="12" operator="greaterThanOrEqual" dxfId="2" stopIfTrue="1">
      <formula>$Q$46</formula>
    </cfRule>
    <cfRule type="cellIs" priority="13" operator="between" dxfId="0" stopIfTrue="1">
      <formula>$O$46</formula>
      <formula>$Q$46</formula>
    </cfRule>
  </conditionalFormatting>
  <conditionalFormatting sqref="C47:L47">
    <cfRule type="cellIs" priority="49" operator="between" dxfId="0" stopIfTrue="1">
      <formula>$O$47</formula>
      <formula>$Q$47</formula>
    </cfRule>
    <cfRule type="cellIs" priority="48" operator="greaterThanOrEqual" dxfId="2" stopIfTrue="1">
      <formula>$Q$47</formula>
    </cfRule>
  </conditionalFormatting>
  <conditionalFormatting sqref="C48:L48">
    <cfRule type="cellIs" priority="50" operator="greaterThanOrEqual" dxfId="2" stopIfTrue="1">
      <formula>$Q$48</formula>
    </cfRule>
    <cfRule type="cellIs" priority="51" operator="between" dxfId="0" stopIfTrue="1">
      <formula>$O$48</formula>
      <formula>$Q$48</formula>
    </cfRule>
  </conditionalFormatting>
  <conditionalFormatting sqref="C49:L49">
    <cfRule type="cellIs" priority="46" operator="greaterThanOrEqual" dxfId="2" stopIfTrue="1">
      <formula>$Q$49</formula>
    </cfRule>
    <cfRule type="cellIs" priority="47" operator="between" dxfId="0" stopIfTrue="1">
      <formula>$O$49</formula>
      <formula>$Q$49</formula>
    </cfRule>
  </conditionalFormatting>
  <conditionalFormatting sqref="C50:L50">
    <cfRule type="cellIs" priority="44" operator="greaterThanOrEqual" dxfId="2" stopIfTrue="1">
      <formula>$Q$50</formula>
    </cfRule>
    <cfRule type="cellIs" priority="45" operator="between" dxfId="0" stopIfTrue="1">
      <formula>$O$50</formula>
      <formula>$Q$50</formula>
    </cfRule>
  </conditionalFormatting>
  <conditionalFormatting sqref="C51:L51">
    <cfRule type="cellIs" priority="42" operator="greaterThanOrEqual" dxfId="2" stopIfTrue="1">
      <formula>$Q$51</formula>
    </cfRule>
    <cfRule type="cellIs" priority="43" operator="between" dxfId="0" stopIfTrue="1">
      <formula>$O$51</formula>
      <formula>$Q$51</formula>
    </cfRule>
  </conditionalFormatting>
  <conditionalFormatting sqref="C55:L55">
    <cfRule type="cellIs" priority="37" operator="greaterThanOrEqual" dxfId="2" stopIfTrue="1">
      <formula>$Q$55</formula>
    </cfRule>
  </conditionalFormatting>
  <conditionalFormatting sqref="C56:L56">
    <cfRule type="cellIs" priority="36" operator="greaterThanOrEqual" dxfId="2" stopIfTrue="1">
      <formula>$Q$56</formula>
    </cfRule>
  </conditionalFormatting>
  <conditionalFormatting sqref="C57:L57">
    <cfRule type="cellIs" priority="35" operator="greaterThanOrEqual" dxfId="2" stopIfTrue="1">
      <formula>$Q$57</formula>
    </cfRule>
  </conditionalFormatting>
  <conditionalFormatting sqref="C58:L58">
    <cfRule type="cellIs" priority="33" operator="greaterThanOrEqual" dxfId="2" stopIfTrue="1">
      <formula>$Q$58</formula>
    </cfRule>
  </conditionalFormatting>
  <conditionalFormatting sqref="C59:L59">
    <cfRule type="cellIs" priority="34" operator="greaterThanOrEqual" dxfId="2" stopIfTrue="1">
      <formula>$Q$59</formula>
    </cfRule>
  </conditionalFormatting>
  <conditionalFormatting sqref="S3">
    <cfRule type="containsText" priority="18" operator="containsText" dxfId="3" stopIfTrue="1" text="SIN EVALUACIÓN">
      <formula>NOT(ISERROR(SEARCH("SIN EVALUACIÓN",S3)))</formula>
    </cfRule>
    <cfRule type="containsText" priority="21" operator="containsText" dxfId="2" stopIfTrue="1" text="PARÁMETROS ANORMALES">
      <formula>NOT(ISERROR(SEARCH("PARÁMETROS ANORMALES",S3)))</formula>
    </cfRule>
    <cfRule type="containsText" priority="20" operator="containsText" dxfId="1" stopIfTrue="1" text="PARÁMETROS NORMALES">
      <formula>NOT(ISERROR(SEARCH("PARÁMETROS NORMALES",S3)))</formula>
    </cfRule>
    <cfRule type="containsText" priority="19" operator="containsText" dxfId="0" stopIfTrue="1" text="PRECAUCIÓN">
      <formula>NOT(ISERROR(SEARCH("PRECAUCIÓN",S3)))</formula>
    </cfRule>
  </conditionalFormatting>
  <conditionalFormatting sqref="X21:AB21">
    <cfRule type="iconSet" priority="60">
      <iconSet iconSet="3Arrows">
        <cfvo type="percent" val="0"/>
        <cfvo type="percent" val="33"/>
        <cfvo type="percent" val="67"/>
      </iconSet>
    </cfRule>
  </conditionalFormatting>
  <conditionalFormatting sqref="X31:AB31">
    <cfRule type="iconSet" priority="59">
      <iconSet iconSet="3Arrows">
        <cfvo type="percent" val="0"/>
        <cfvo type="percent" val="33"/>
        <cfvo type="percent" val="67"/>
      </iconSet>
    </cfRule>
  </conditionalFormatting>
  <dataValidations count="4">
    <dataValidation sqref="C18:L18" showDropDown="0" showInputMessage="1" showErrorMessage="1" allowBlank="1" type="list">
      <formula1>"NORMAL,PRECAUCIÓN,ANORMAL,N/D"</formula1>
    </dataValidation>
    <dataValidation sqref="L2" showDropDown="0" showInputMessage="1" showErrorMessage="1" allowBlank="1" error="PARAMETROS FUERA DEL LIMITE CONDENATORIO_x000a_"/>
    <dataValidation sqref="S3" showDropDown="0" showInputMessage="1" showErrorMessage="1" allowBlank="1" type="list">
      <formula1>"PARÁMETROS NORMALES,PRECAUCIÓN,PARÁMETROS ANORMALES,SIN EVALUACIÓN"</formula1>
    </dataValidation>
    <dataValidation sqref="C26:L26 C28:L28" showDropDown="0" showInputMessage="1" showErrorMessage="1" allowBlank="1" type="list">
      <formula1>"NEGATIVO, POSITIVO"</formula1>
    </dataValidation>
  </dataValidations>
  <pageMargins left="0" right="0" top="0" bottom="0" header="0" footer="0"/>
  <pageSetup orientation="landscape" scale="42"/>
  <colBreaks count="1" manualBreakCount="1">
    <brk id="23" min="0" max="1048575" man="1"/>
  </colBreak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H75"/>
  <sheetViews>
    <sheetView showGridLines="0" view="pageBreakPreview" topLeftCell="B58" zoomScale="70" zoomScaleNormal="100" zoomScaleSheetLayoutView="70" workbookViewId="0">
      <selection activeCell="F81" sqref="F81"/>
    </sheetView>
  </sheetViews>
  <sheetFormatPr baseColWidth="10" defaultRowHeight="12"/>
  <cols>
    <col width="3.5703125" customWidth="1" style="140" min="1" max="1"/>
    <col width="54" customWidth="1" style="140" min="2" max="2"/>
    <col width="14.85546875" customWidth="1" style="140" min="3" max="12"/>
    <col width="2.140625" customWidth="1" style="140" min="13" max="13"/>
    <col width="4" customWidth="1" style="140" min="14" max="14"/>
    <col width="6.85546875" customWidth="1" style="140" min="15" max="15"/>
    <col width="4.140625" customWidth="1" style="140" min="16" max="16"/>
    <col width="6.7109375" customWidth="1" style="140" min="17" max="17"/>
    <col width="6.5703125" customWidth="1" style="140" min="18" max="18"/>
    <col width="22.42578125" customWidth="1" style="140" min="19" max="19"/>
    <col width="15.28515625" customWidth="1" style="140" min="20" max="23"/>
    <col width="11.42578125" customWidth="1" style="140" min="24" max="16384"/>
  </cols>
  <sheetData>
    <row r="1" ht="27.95" customHeight="1" thickBot="1">
      <c r="A1" s="424" t="inlineStr">
        <is>
          <t>REPORTE DE ANÁLISIS DE LUBRICANTE</t>
        </is>
      </c>
      <c r="B1" s="425" t="n"/>
      <c r="C1" s="425" t="n"/>
      <c r="D1" s="425" t="n"/>
      <c r="E1" s="425" t="n"/>
      <c r="F1" s="425" t="n"/>
      <c r="G1" s="425" t="n"/>
      <c r="H1" s="425" t="n"/>
      <c r="I1" s="425" t="n"/>
      <c r="J1" s="425" t="n"/>
      <c r="K1" s="425" t="n"/>
      <c r="L1" s="425" t="n"/>
      <c r="M1" s="425" t="n"/>
      <c r="N1" s="425" t="n"/>
      <c r="O1" s="425" t="n"/>
      <c r="P1" s="425" t="n"/>
      <c r="Q1" s="425" t="n"/>
      <c r="R1" s="425" t="n"/>
      <c r="S1" s="425" t="n"/>
      <c r="T1" s="425" t="n"/>
      <c r="U1" s="425" t="n"/>
      <c r="V1" s="425" t="n"/>
      <c r="W1" s="426" t="n"/>
    </row>
    <row r="2" ht="24" customHeight="1" thickBot="1">
      <c r="A2" s="427" t="n"/>
      <c r="B2" s="428" t="n"/>
      <c r="C2" s="429" t="inlineStr">
        <is>
          <t>NOMBRE DEL CLIENTE:</t>
        </is>
      </c>
      <c r="D2" s="430" t="n"/>
      <c r="E2" s="430" t="n"/>
      <c r="F2" s="430" t="n"/>
      <c r="G2" s="428" t="n"/>
      <c r="H2" s="311" t="inlineStr">
        <is>
          <t>Compartimento:</t>
        </is>
      </c>
      <c r="I2" s="431" t="n"/>
      <c r="J2" s="431" t="n"/>
      <c r="K2" s="432" t="n"/>
      <c r="L2" s="328">
        <f>Datos!A242</f>
        <v/>
      </c>
      <c r="M2" s="431" t="n"/>
      <c r="N2" s="431" t="n"/>
      <c r="O2" s="431" t="n"/>
      <c r="P2" s="431" t="n"/>
      <c r="Q2" s="431" t="n"/>
      <c r="R2" s="432" t="n"/>
      <c r="S2" s="433" t="inlineStr">
        <is>
          <t>Diagnóstico de la última muestra:</t>
        </is>
      </c>
      <c r="T2" s="425" t="n"/>
      <c r="U2" s="425" t="n"/>
      <c r="V2" s="425" t="n"/>
      <c r="W2" s="426" t="n"/>
      <c r="X2" s="141" t="n"/>
      <c r="Y2" s="141" t="n"/>
      <c r="Z2" s="141" t="n"/>
      <c r="AA2" s="141" t="inlineStr">
        <is>
          <t>MANDO FINAL DERECHO</t>
        </is>
      </c>
      <c r="AB2" s="141" t="n"/>
    </row>
    <row r="3" ht="24" customHeight="1">
      <c r="A3" s="151" t="n"/>
      <c r="B3" s="434" t="n"/>
      <c r="C3" s="435" t="n"/>
      <c r="D3" s="141" t="n"/>
      <c r="E3" s="141" t="n"/>
      <c r="F3" s="141" t="n"/>
      <c r="G3" s="434" t="n"/>
      <c r="H3" s="317" t="inlineStr">
        <is>
          <t>Equipo:</t>
        </is>
      </c>
      <c r="I3" s="436" t="n"/>
      <c r="J3" s="436" t="n"/>
      <c r="K3" s="437" t="n"/>
      <c r="L3" s="210">
        <f>MOTOR!AA3</f>
        <v/>
      </c>
      <c r="M3" s="399" t="n"/>
      <c r="N3" s="399" t="n"/>
      <c r="O3" s="399" t="n"/>
      <c r="P3" s="399" t="n"/>
      <c r="Q3" s="399" t="n"/>
      <c r="R3" s="400" t="n"/>
      <c r="S3" s="438" t="inlineStr">
        <is>
          <t>SIN EVALUACIÓN</t>
        </is>
      </c>
      <c r="T3" s="430" t="n"/>
      <c r="U3" s="430" t="n"/>
      <c r="V3" s="430" t="n"/>
      <c r="W3" s="439" t="n"/>
      <c r="X3" s="141" t="n"/>
      <c r="Y3" s="141" t="n"/>
      <c r="Z3" s="141" t="n"/>
      <c r="AA3" s="141" t="inlineStr">
        <is>
          <t>UG 00</t>
        </is>
      </c>
      <c r="AB3" s="141" t="n"/>
      <c r="AH3" t="inlineStr">
        <is>
          <t>SIN EVALUACION</t>
        </is>
      </c>
    </row>
    <row r="4" ht="24" customHeight="1" thickBot="1">
      <c r="A4" s="151" t="n"/>
      <c r="B4" s="434" t="n"/>
      <c r="C4" s="404" t="inlineStr">
        <is>
          <t>JUSTICE COMPANY</t>
        </is>
      </c>
      <c r="G4" s="397" t="n"/>
      <c r="H4" s="317" t="inlineStr">
        <is>
          <t>Marca:</t>
        </is>
      </c>
      <c r="I4" s="436" t="n"/>
      <c r="J4" s="436" t="n"/>
      <c r="K4" s="437" t="n"/>
      <c r="L4" s="210">
        <f>MOTOR!AA4</f>
        <v/>
      </c>
      <c r="M4" s="399" t="n"/>
      <c r="N4" s="399" t="n"/>
      <c r="O4" s="399" t="n"/>
      <c r="P4" s="399" t="n"/>
      <c r="Q4" s="399" t="n"/>
      <c r="R4" s="400" t="n"/>
      <c r="S4" s="440" t="n"/>
      <c r="T4" s="187" t="n"/>
      <c r="U4" s="187" t="n"/>
      <c r="V4" s="187" t="n"/>
      <c r="W4" s="441" t="n"/>
      <c r="X4" s="141" t="n"/>
      <c r="Y4" s="141" t="n"/>
      <c r="Z4" s="141" t="n"/>
      <c r="AA4" s="141" t="inlineStr">
        <is>
          <t>MARCA EQUIPO</t>
        </is>
      </c>
      <c r="AB4" s="141" t="n"/>
    </row>
    <row r="5" ht="24" customHeight="1">
      <c r="A5" s="151" t="n"/>
      <c r="B5" s="434" t="n"/>
      <c r="C5" s="398" t="n"/>
      <c r="G5" s="397" t="n"/>
      <c r="H5" s="317" t="inlineStr">
        <is>
          <t>Serie:</t>
        </is>
      </c>
      <c r="I5" s="436" t="n"/>
      <c r="J5" s="436" t="n"/>
      <c r="K5" s="437" t="n"/>
      <c r="L5" s="210">
        <f>MOTOR!AA5</f>
        <v/>
      </c>
      <c r="M5" s="399" t="n"/>
      <c r="N5" s="399" t="n"/>
      <c r="O5" s="399" t="n"/>
      <c r="P5" s="399" t="n"/>
      <c r="Q5" s="399" t="n"/>
      <c r="R5" s="400" t="n"/>
      <c r="S5" s="442" t="n"/>
      <c r="T5" s="430" t="n"/>
      <c r="U5" s="430" t="n"/>
      <c r="V5" s="430" t="n"/>
      <c r="W5" s="439" t="n"/>
      <c r="X5" s="141" t="n"/>
      <c r="Y5" s="141" t="n"/>
      <c r="Z5" s="141" t="n"/>
      <c r="AA5" s="141" t="inlineStr">
        <is>
          <t>SERIE</t>
        </is>
      </c>
      <c r="AB5" s="141" t="n"/>
    </row>
    <row r="6" ht="24" customHeight="1">
      <c r="A6" s="151" t="n"/>
      <c r="B6" s="434" t="n"/>
      <c r="C6" s="398" t="n"/>
      <c r="G6" s="397" t="n"/>
      <c r="H6" s="317" t="inlineStr">
        <is>
          <t>Modelo:</t>
        </is>
      </c>
      <c r="I6" s="436" t="n"/>
      <c r="J6" s="436" t="n"/>
      <c r="K6" s="437" t="n"/>
      <c r="L6" s="210">
        <f>MOTOR!AA6</f>
        <v/>
      </c>
      <c r="M6" s="399" t="n"/>
      <c r="N6" s="399" t="n"/>
      <c r="O6" s="399" t="n"/>
      <c r="P6" s="399" t="n"/>
      <c r="Q6" s="399" t="n"/>
      <c r="R6" s="400" t="n"/>
      <c r="S6" s="151" t="n"/>
      <c r="T6" s="141" t="n"/>
      <c r="U6" s="141" t="n"/>
      <c r="V6" s="141" t="n"/>
      <c r="W6" s="152" t="n"/>
      <c r="X6" s="141" t="n"/>
      <c r="Y6" s="141" t="n"/>
      <c r="Z6" s="141" t="n"/>
      <c r="AA6" s="141" t="inlineStr">
        <is>
          <t>MODELO</t>
        </is>
      </c>
      <c r="AB6" s="141" t="n"/>
    </row>
    <row r="7" ht="24" customHeight="1">
      <c r="A7" s="151" t="n"/>
      <c r="B7" s="434" t="n"/>
      <c r="C7" s="398" t="n"/>
      <c r="G7" s="397" t="n"/>
      <c r="H7" s="317" t="inlineStr">
        <is>
          <t>Lubricante:</t>
        </is>
      </c>
      <c r="I7" s="436" t="n"/>
      <c r="J7" s="436" t="n"/>
      <c r="K7" s="437" t="n"/>
      <c r="L7" s="330" t="n"/>
      <c r="M7" s="436" t="n"/>
      <c r="N7" s="436" t="n"/>
      <c r="O7" s="436" t="n"/>
      <c r="P7" s="436" t="n"/>
      <c r="Q7" s="436" t="n"/>
      <c r="R7" s="437" t="n"/>
      <c r="S7" s="151" t="n"/>
      <c r="T7" s="141" t="n"/>
      <c r="U7" s="141" t="n"/>
      <c r="V7" s="141" t="n"/>
      <c r="W7" s="152" t="n"/>
      <c r="X7" s="141" t="n"/>
      <c r="Y7" s="141" t="n"/>
      <c r="Z7" s="141" t="n"/>
      <c r="AA7" s="141" t="inlineStr">
        <is>
          <t>15W40</t>
        </is>
      </c>
      <c r="AB7" s="141" t="n"/>
    </row>
    <row r="8" ht="24" customHeight="1" thickBot="1">
      <c r="A8" s="440" t="n"/>
      <c r="B8" s="443" t="n"/>
      <c r="C8" s="409" t="n"/>
      <c r="D8" s="73" t="n"/>
      <c r="E8" s="73" t="n"/>
      <c r="F8" s="73" t="n"/>
      <c r="G8" s="408" t="n"/>
      <c r="H8" s="283" t="inlineStr">
        <is>
          <t xml:space="preserve">Marca del Lubricante: </t>
        </is>
      </c>
      <c r="I8" s="444" t="n"/>
      <c r="J8" s="444" t="n"/>
      <c r="K8" s="445" t="n"/>
      <c r="L8" s="326" t="n"/>
      <c r="M8" s="444" t="n"/>
      <c r="N8" s="444" t="n"/>
      <c r="O8" s="444" t="n"/>
      <c r="P8" s="444" t="n"/>
      <c r="Q8" s="444" t="n"/>
      <c r="R8" s="445" t="n"/>
      <c r="S8" s="440" t="n"/>
      <c r="T8" s="187" t="n"/>
      <c r="U8" s="187" t="n"/>
      <c r="V8" s="187" t="n"/>
      <c r="W8" s="441" t="n"/>
      <c r="X8" s="141" t="n"/>
      <c r="Y8" s="141" t="n"/>
      <c r="Z8" s="141" t="n"/>
      <c r="AA8" s="141" t="inlineStr">
        <is>
          <t>GULF</t>
        </is>
      </c>
      <c r="AB8" s="141" t="n"/>
    </row>
    <row r="9" ht="15.75" customHeight="1">
      <c r="A9" s="142" t="n"/>
      <c r="B9" s="286" t="n"/>
      <c r="C9" s="141" t="n"/>
      <c r="D9" s="141" t="n"/>
      <c r="E9" s="141" t="n"/>
      <c r="F9" s="141" t="n"/>
      <c r="G9" s="141" t="n"/>
      <c r="H9" s="141" t="n"/>
      <c r="I9" s="141" t="n"/>
      <c r="J9" s="141" t="n"/>
      <c r="K9" s="141" t="n"/>
      <c r="L9" s="141" t="n"/>
      <c r="M9" s="141" t="n"/>
      <c r="N9" s="141" t="n"/>
      <c r="O9" s="141" t="n"/>
      <c r="P9" s="286" t="n"/>
      <c r="Q9" s="144" t="n"/>
      <c r="R9" s="145" t="n"/>
      <c r="S9" s="146" t="n"/>
      <c r="T9" s="147" t="n"/>
      <c r="U9" s="147" t="n"/>
      <c r="V9" s="147" t="n"/>
      <c r="W9" s="148" t="n"/>
      <c r="X9" s="141" t="n"/>
      <c r="Y9" s="141" t="n"/>
      <c r="Z9" s="141" t="n"/>
      <c r="AA9" s="141" t="n"/>
      <c r="AB9" s="141" t="n"/>
    </row>
    <row r="10" ht="15.75" customHeight="1">
      <c r="A10" s="142" t="n"/>
      <c r="B10" s="275" t="inlineStr">
        <is>
          <t>INFORMACIÓN DE LA MUESTRA</t>
        </is>
      </c>
      <c r="C10" s="446" t="n"/>
      <c r="D10" s="446" t="n"/>
      <c r="E10" s="446" t="n"/>
      <c r="F10" s="446" t="n"/>
      <c r="G10" s="446" t="n"/>
      <c r="H10" s="446" t="n"/>
      <c r="I10" s="446" t="n"/>
      <c r="J10" s="446" t="n"/>
      <c r="K10" s="446" t="n"/>
      <c r="L10" s="447" t="n"/>
      <c r="M10" s="144" t="n"/>
      <c r="N10" s="144" t="n"/>
      <c r="O10" s="144" t="n"/>
      <c r="P10" s="144" t="n"/>
      <c r="Q10" s="144" t="n"/>
      <c r="R10" s="145" t="n"/>
      <c r="S10" s="146" t="n"/>
      <c r="T10" s="147" t="n"/>
      <c r="U10" s="147" t="n"/>
      <c r="V10" s="147" t="n"/>
      <c r="W10" s="148" t="n"/>
      <c r="X10" s="141" t="n"/>
      <c r="Y10" s="141" t="n"/>
      <c r="Z10" s="141" t="n"/>
      <c r="AA10" s="141" t="n"/>
      <c r="AB10" s="141" t="n"/>
    </row>
    <row r="11" ht="15" customHeight="1">
      <c r="A11" s="142" t="n"/>
      <c r="B11" s="448" t="n"/>
      <c r="C11" s="449" t="n"/>
      <c r="D11" s="449" t="n"/>
      <c r="E11" s="449" t="n"/>
      <c r="F11" s="449" t="n"/>
      <c r="G11" s="449" t="n"/>
      <c r="H11" s="449" t="n"/>
      <c r="I11" s="449" t="n"/>
      <c r="J11" s="449" t="n"/>
      <c r="K11" s="449" t="n"/>
      <c r="L11" s="450" t="n"/>
      <c r="M11" s="149" t="n"/>
      <c r="N11" s="149" t="n"/>
      <c r="O11" s="149" t="n"/>
      <c r="P11" s="149" t="n"/>
      <c r="Q11" s="149" t="n"/>
      <c r="R11" s="150" t="n"/>
      <c r="S11" s="151" t="n"/>
      <c r="T11" s="141" t="n"/>
      <c r="U11" s="141" t="n"/>
      <c r="V11" s="141" t="n"/>
      <c r="W11" s="152" t="n"/>
      <c r="X11" s="141" t="n"/>
      <c r="Y11" s="141" t="n"/>
      <c r="Z11" s="141" t="n"/>
      <c r="AA11" s="141" t="n"/>
      <c r="AB11" s="141" t="n"/>
    </row>
    <row r="12" ht="18" customHeight="1">
      <c r="A12" s="142" t="n"/>
      <c r="B12" s="153" t="inlineStr">
        <is>
          <t>Numeración de Muestra</t>
        </is>
      </c>
      <c r="C12" s="154" t="inlineStr">
        <is>
          <t>MUESTRA-001</t>
        </is>
      </c>
      <c r="D12" s="154" t="n"/>
      <c r="E12" s="154" t="n"/>
      <c r="F12" s="154" t="n"/>
      <c r="G12" s="154" t="n"/>
      <c r="H12" s="154" t="n"/>
      <c r="I12" s="154" t="n"/>
      <c r="J12" s="154" t="n"/>
      <c r="K12" s="154" t="n"/>
      <c r="L12" s="154" t="n"/>
      <c r="R12" s="155" t="n"/>
      <c r="S12" s="151" t="n"/>
      <c r="T12" s="141" t="n"/>
      <c r="U12" s="141" t="n"/>
      <c r="V12" s="141" t="n"/>
      <c r="W12" s="152" t="n"/>
      <c r="X12" s="141" t="n"/>
      <c r="Y12" s="141" t="n"/>
      <c r="Z12" s="141" t="n"/>
      <c r="AA12" s="141" t="n"/>
      <c r="AB12" s="141" t="n"/>
    </row>
    <row r="13" ht="18" customHeight="1">
      <c r="A13" s="142" t="n"/>
      <c r="B13" s="153" t="inlineStr">
        <is>
          <t>Fecha de Muestreo</t>
        </is>
      </c>
      <c r="C13" s="451" t="inlineStr">
        <is>
          <t>2026-03-28</t>
        </is>
      </c>
      <c r="D13" s="451" t="n"/>
      <c r="E13" s="451" t="n"/>
      <c r="F13" s="451" t="n"/>
      <c r="G13" s="451" t="n"/>
      <c r="H13" s="451" t="n"/>
      <c r="I13" s="451" t="n"/>
      <c r="J13" s="451" t="n"/>
      <c r="K13" s="451" t="n"/>
      <c r="L13" s="451" t="n"/>
      <c r="R13" s="155" t="n"/>
      <c r="S13" s="151" t="n"/>
      <c r="T13" s="141" t="n"/>
      <c r="U13" s="141" t="n"/>
      <c r="V13" s="141" t="n"/>
      <c r="W13" s="152" t="n"/>
      <c r="X13" s="141" t="n"/>
      <c r="Y13" s="141" t="n"/>
      <c r="Z13" s="141" t="n"/>
      <c r="AA13" s="141" t="n"/>
      <c r="AB13" s="141" t="n"/>
    </row>
    <row r="14" ht="15.75" customHeight="1">
      <c r="A14" s="142" t="n"/>
      <c r="B14" s="153" t="inlineStr">
        <is>
          <t>Fecha de Ingreso</t>
        </is>
      </c>
      <c r="C14" s="451" t="inlineStr">
        <is>
          <t>2026-03-29</t>
        </is>
      </c>
      <c r="D14" s="451" t="n"/>
      <c r="E14" s="451" t="n"/>
      <c r="F14" s="451" t="n"/>
      <c r="G14" s="451" t="n"/>
      <c r="H14" s="451" t="n"/>
      <c r="I14" s="451" t="n"/>
      <c r="J14" s="451" t="n"/>
      <c r="K14" s="451" t="n"/>
      <c r="L14" s="451" t="n"/>
      <c r="R14" s="155" t="n"/>
      <c r="S14" s="151" t="n"/>
      <c r="T14" s="141" t="n"/>
      <c r="U14" s="141" t="n"/>
      <c r="V14" s="141" t="n"/>
      <c r="W14" s="152" t="n"/>
      <c r="X14" s="141" t="n"/>
      <c r="Y14" s="141" t="n"/>
      <c r="Z14" s="141" t="n"/>
      <c r="AA14" s="141" t="n"/>
      <c r="AB14" s="141" t="n"/>
    </row>
    <row r="15" ht="18" customHeight="1">
      <c r="A15" s="142" t="n"/>
      <c r="B15" s="153" t="inlineStr">
        <is>
          <t>Fecha de Informe</t>
        </is>
      </c>
      <c r="C15" s="451" t="inlineStr">
        <is>
          <t>2026-03-30</t>
        </is>
      </c>
      <c r="D15" s="451" t="n"/>
      <c r="E15" s="451" t="n"/>
      <c r="F15" s="451" t="n"/>
      <c r="G15" s="451" t="n"/>
      <c r="H15" s="451" t="n"/>
      <c r="I15" s="451" t="n"/>
      <c r="J15" s="451" t="n"/>
      <c r="K15" s="451" t="n"/>
      <c r="L15" s="451" t="n"/>
      <c r="R15" s="155" t="n"/>
      <c r="S15" s="151" t="n"/>
      <c r="T15" s="141" t="n"/>
      <c r="U15" s="141" t="n"/>
      <c r="V15" s="141" t="n"/>
      <c r="W15" s="152" t="n"/>
      <c r="X15" s="141" t="n"/>
      <c r="Y15" s="141" t="n"/>
      <c r="Z15" s="141" t="n"/>
      <c r="AA15" s="141" t="n"/>
      <c r="AB15" s="141" t="n"/>
    </row>
    <row r="16" ht="18" customHeight="1">
      <c r="A16" s="142" t="n"/>
      <c r="B16" s="153" t="inlineStr">
        <is>
          <t>Equipo Hrs/ Km</t>
        </is>
      </c>
      <c r="C16" s="154" t="n">
        <v>12000</v>
      </c>
      <c r="D16" s="154" t="n"/>
      <c r="E16" s="154" t="n"/>
      <c r="F16" s="154" t="n"/>
      <c r="G16" s="154" t="n"/>
      <c r="H16" s="154" t="n"/>
      <c r="I16" s="154" t="n"/>
      <c r="J16" s="154" t="n"/>
      <c r="K16" s="154" t="n"/>
      <c r="L16" s="154" t="n"/>
      <c r="R16" s="155" t="n"/>
      <c r="S16" s="151" t="n"/>
      <c r="T16" s="141" t="n"/>
      <c r="U16" s="141" t="n"/>
      <c r="V16" s="141" t="n"/>
      <c r="W16" s="152" t="n"/>
      <c r="X16" s="141" t="n"/>
      <c r="Y16" s="141" t="n"/>
      <c r="Z16" s="141" t="n"/>
      <c r="AA16" s="141" t="n"/>
      <c r="AB16" s="141" t="n"/>
    </row>
    <row r="17" ht="18" customHeight="1">
      <c r="A17" s="142" t="n"/>
      <c r="B17" s="153" t="inlineStr">
        <is>
          <t>Aceite Hrs/ Km</t>
        </is>
      </c>
      <c r="C17" s="154" t="n">
        <v>320</v>
      </c>
      <c r="D17" s="154" t="n"/>
      <c r="E17" s="154" t="n"/>
      <c r="F17" s="154" t="n"/>
      <c r="G17" s="154" t="n"/>
      <c r="H17" s="154" t="n"/>
      <c r="I17" s="154" t="n"/>
      <c r="J17" s="154" t="n"/>
      <c r="K17" s="154" t="n"/>
      <c r="L17" s="154" t="n"/>
      <c r="R17" s="155" t="n"/>
      <c r="S17" s="151" t="n"/>
      <c r="T17" s="141" t="n"/>
      <c r="U17" s="141" t="n"/>
      <c r="V17" s="141" t="n"/>
      <c r="W17" s="152" t="n"/>
      <c r="X17" s="141" t="n"/>
      <c r="Y17" s="141" t="n"/>
      <c r="Z17" s="141" t="n"/>
      <c r="AA17" s="141" t="n"/>
      <c r="AB17" s="141" t="n"/>
    </row>
    <row r="18" ht="18" customHeight="1">
      <c r="A18" s="142" t="n"/>
      <c r="B18" s="153" t="inlineStr">
        <is>
          <t>Condición</t>
        </is>
      </c>
      <c r="C18" s="157" t="inlineStr">
        <is>
          <t>NORMAL</t>
        </is>
      </c>
      <c r="D18" s="157" t="n"/>
      <c r="E18" s="157" t="n"/>
      <c r="F18" s="157" t="n"/>
      <c r="G18" s="157" t="n"/>
      <c r="H18" s="157" t="n"/>
      <c r="I18" s="157" t="n"/>
      <c r="J18" s="157" t="n"/>
      <c r="K18" s="157" t="n"/>
      <c r="L18" s="157" t="n"/>
      <c r="R18" s="155" t="n"/>
      <c r="S18" s="151" t="n"/>
      <c r="T18" s="141" t="n"/>
      <c r="U18" s="141" t="n"/>
      <c r="V18" s="141" t="n"/>
      <c r="W18" s="152" t="n"/>
      <c r="X18" s="141" t="n"/>
      <c r="Y18" s="141" t="n"/>
      <c r="Z18" s="141" t="n"/>
      <c r="AA18" s="141" t="n"/>
      <c r="AB18" s="141" t="n"/>
    </row>
    <row r="19" ht="18" customHeight="1">
      <c r="A19" s="142" t="n"/>
      <c r="B19" s="158" t="n"/>
      <c r="C19" s="158" t="n"/>
      <c r="D19" s="158" t="n"/>
      <c r="E19" s="158" t="n"/>
      <c r="F19" s="158" t="n"/>
      <c r="G19" s="158" t="n"/>
      <c r="H19" s="158" t="n"/>
      <c r="I19" s="158" t="n"/>
      <c r="J19" s="158" t="n"/>
      <c r="K19" s="158" t="n"/>
      <c r="L19" s="158" t="n"/>
      <c r="R19" s="155" t="n"/>
      <c r="S19" s="151" t="n"/>
      <c r="T19" s="141" t="n"/>
      <c r="U19" s="141" t="n"/>
      <c r="V19" s="141" t="n"/>
      <c r="W19" s="152" t="n"/>
      <c r="X19" s="141" t="n"/>
      <c r="Y19" s="141" t="n"/>
      <c r="Z19" s="141" t="n"/>
      <c r="AA19" s="141" t="n"/>
      <c r="AB19" s="141" t="n"/>
    </row>
    <row r="20" ht="18" customHeight="1">
      <c r="A20" s="142" t="n"/>
      <c r="B20" s="275" t="inlineStr">
        <is>
          <t>ESTADO DEL LUBRICANTE</t>
        </is>
      </c>
      <c r="C20" s="446" t="n"/>
      <c r="D20" s="446" t="n"/>
      <c r="E20" s="446" t="n"/>
      <c r="F20" s="446" t="n"/>
      <c r="G20" s="446" t="n"/>
      <c r="H20" s="446" t="n"/>
      <c r="I20" s="446" t="n"/>
      <c r="J20" s="446" t="n"/>
      <c r="K20" s="446" t="n"/>
      <c r="L20" s="447" t="n"/>
      <c r="N20" s="276" t="inlineStr">
        <is>
          <t>* Rangos Generales</t>
        </is>
      </c>
      <c r="O20" s="436" t="n"/>
      <c r="P20" s="436" t="n"/>
      <c r="Q20" s="437" t="n"/>
      <c r="R20" s="155" t="n"/>
      <c r="S20" s="151" t="n"/>
      <c r="T20" s="141" t="n"/>
      <c r="U20" s="141" t="n"/>
      <c r="V20" s="141" t="n"/>
      <c r="W20" s="152" t="n"/>
      <c r="X20" s="141" t="n"/>
      <c r="Y20" s="141" t="n"/>
      <c r="Z20" s="141" t="n"/>
      <c r="AA20" s="141" t="n"/>
      <c r="AB20" s="141" t="n"/>
    </row>
    <row r="21" ht="18" customHeight="1">
      <c r="A21" s="142" t="n"/>
      <c r="B21" s="448" t="n"/>
      <c r="C21" s="449" t="n"/>
      <c r="D21" s="449" t="n"/>
      <c r="E21" s="449" t="n"/>
      <c r="F21" s="449" t="n"/>
      <c r="G21" s="449" t="n"/>
      <c r="H21" s="449" t="n"/>
      <c r="I21" s="449" t="n"/>
      <c r="J21" s="449" t="n"/>
      <c r="K21" s="449" t="n"/>
      <c r="L21" s="450" t="n"/>
      <c r="M21" s="149" t="n"/>
      <c r="N21" s="276" t="inlineStr">
        <is>
          <t>Precaución</t>
        </is>
      </c>
      <c r="O21" s="437" t="n"/>
      <c r="P21" s="276" t="inlineStr">
        <is>
          <t>Anormal</t>
        </is>
      </c>
      <c r="Q21" s="437" t="n"/>
      <c r="R21" s="155" t="n"/>
      <c r="S21" s="151" t="n"/>
      <c r="T21" s="141" t="n"/>
      <c r="U21" s="141" t="n"/>
      <c r="V21" s="141" t="n"/>
      <c r="W21" s="152" t="n"/>
      <c r="X21" s="286" t="n"/>
      <c r="Y21" s="286" t="n"/>
      <c r="Z21" s="286" t="n"/>
      <c r="AA21" s="286" t="n"/>
      <c r="AB21" s="286" t="n"/>
    </row>
    <row r="22" hidden="1" ht="15.75" customHeight="1">
      <c r="A22" s="142" t="n"/>
      <c r="B22" s="153" t="inlineStr">
        <is>
          <t>Viscosidad a 100ºC, cSt</t>
        </is>
      </c>
      <c r="C22" s="452" t="n">
        <v>0</v>
      </c>
      <c r="D22" s="452" t="n"/>
      <c r="E22" s="452" t="n"/>
      <c r="F22" s="452" t="n"/>
      <c r="G22" s="452" t="n"/>
      <c r="H22" s="452" t="n"/>
      <c r="I22" s="452" t="n"/>
      <c r="J22" s="452" t="n"/>
      <c r="K22" s="452" t="n"/>
      <c r="L22" s="452" t="n"/>
      <c r="M22" s="149" t="n"/>
      <c r="N22" s="160" t="n"/>
      <c r="O22" s="453" t="n"/>
      <c r="P22" s="162" t="n"/>
      <c r="Q22" s="453" t="n"/>
      <c r="R22" s="155" t="n"/>
      <c r="S22" s="151" t="n"/>
      <c r="T22" s="141" t="n"/>
      <c r="U22" s="141" t="n"/>
      <c r="V22" s="141" t="n"/>
      <c r="W22" s="152" t="n"/>
      <c r="X22" s="141" t="n"/>
      <c r="Y22" s="141" t="n"/>
      <c r="Z22" s="141" t="n"/>
      <c r="AA22" s="141" t="n"/>
      <c r="AB22" s="141" t="n"/>
    </row>
    <row r="23" ht="15.75" customHeight="1">
      <c r="A23" s="142" t="n"/>
      <c r="B23" s="153" t="inlineStr">
        <is>
          <t>Viscosidad a 40ºC, cSt</t>
        </is>
      </c>
      <c r="C23" s="452" t="n">
        <v>0</v>
      </c>
      <c r="D23" s="452" t="n"/>
      <c r="E23" s="452" t="n"/>
      <c r="F23" s="452" t="n"/>
      <c r="G23" s="452" t="n"/>
      <c r="H23" s="452" t="n"/>
      <c r="I23" s="452" t="n"/>
      <c r="J23" s="452" t="n"/>
      <c r="K23" s="452" t="n"/>
      <c r="L23" s="452" t="n"/>
      <c r="M23" s="149" t="n"/>
      <c r="N23" s="160" t="n"/>
      <c r="O23" s="453" t="n"/>
      <c r="P23" s="162" t="n"/>
      <c r="Q23" s="453" t="n"/>
      <c r="R23" s="155" t="n"/>
      <c r="S23" s="151" t="n"/>
      <c r="T23" s="141" t="n"/>
      <c r="U23" s="141" t="n"/>
      <c r="V23" s="141" t="n"/>
      <c r="W23" s="152" t="n"/>
      <c r="X23" s="141" t="n"/>
      <c r="Y23" s="141" t="n"/>
      <c r="Z23" s="141" t="n"/>
      <c r="AA23" s="141" t="n"/>
      <c r="AB23" s="141" t="n"/>
    </row>
    <row r="24" hidden="1" ht="15.75" customHeight="1">
      <c r="A24" s="142" t="n"/>
      <c r="B24" s="153" t="inlineStr">
        <is>
          <t>Indice de Viscosidad</t>
        </is>
      </c>
      <c r="C24" s="163" t="n">
        <v>0</v>
      </c>
      <c r="D24" s="163" t="n"/>
      <c r="E24" s="163" t="n"/>
      <c r="F24" s="163" t="n"/>
      <c r="G24" s="163" t="n"/>
      <c r="H24" s="163" t="n"/>
      <c r="I24" s="163" t="n"/>
      <c r="J24" s="163" t="n"/>
      <c r="K24" s="163" t="n"/>
      <c r="L24" s="163" t="n"/>
      <c r="M24" s="149" t="n"/>
      <c r="N24" s="164" t="n"/>
      <c r="O24" s="454" t="n"/>
      <c r="P24" s="164" t="n"/>
      <c r="Q24" s="454" t="n"/>
      <c r="R24" s="155" t="n"/>
      <c r="S24" s="151" t="n"/>
      <c r="T24" s="141" t="n"/>
      <c r="U24" s="141" t="n"/>
      <c r="V24" s="141" t="n"/>
      <c r="W24" s="152" t="n"/>
      <c r="X24" s="141" t="n"/>
      <c r="Y24" s="141" t="n"/>
      <c r="Z24" s="141" t="n"/>
      <c r="AA24" s="141" t="n"/>
      <c r="AB24" s="141" t="n"/>
    </row>
    <row r="25" hidden="1" ht="15.75" customHeight="1">
      <c r="A25" s="142" t="n"/>
      <c r="B25" s="153" t="inlineStr">
        <is>
          <t>T.B.N. mgKOH/gr</t>
        </is>
      </c>
      <c r="C25" s="455" t="n">
        <v>0</v>
      </c>
      <c r="D25" s="455" t="n"/>
      <c r="E25" s="455" t="n"/>
      <c r="F25" s="455" t="n"/>
      <c r="G25" s="455" t="n"/>
      <c r="H25" s="455" t="n"/>
      <c r="I25" s="455" t="n"/>
      <c r="J25" s="455" t="n"/>
      <c r="K25" s="455" t="n"/>
      <c r="L25" s="455" t="n"/>
      <c r="M25" s="167" t="n"/>
      <c r="N25" s="276" t="inlineStr">
        <is>
          <t>[50% TBN -1]</t>
        </is>
      </c>
      <c r="O25" s="436" t="n"/>
      <c r="P25" s="436" t="n"/>
      <c r="Q25" s="437" t="n"/>
      <c r="R25" s="155" t="n"/>
      <c r="S25" s="151" t="n"/>
      <c r="T25" s="141" t="n"/>
      <c r="U25" s="141" t="n"/>
      <c r="V25" s="141" t="n"/>
      <c r="W25" s="152" t="n"/>
    </row>
    <row r="26" ht="15.75" customHeight="1">
      <c r="A26" s="142" t="n"/>
      <c r="B26" s="153" t="inlineStr">
        <is>
          <t>Humedad</t>
        </is>
      </c>
      <c r="C26" s="154" t="inlineStr">
        <is>
          <t>NEGATIVO</t>
        </is>
      </c>
      <c r="D26" s="154" t="n"/>
      <c r="E26" s="154" t="n"/>
      <c r="F26" s="154" t="n"/>
      <c r="G26" s="154" t="n"/>
      <c r="H26" s="154" t="n"/>
      <c r="I26" s="154" t="n"/>
      <c r="J26" s="154" t="n"/>
      <c r="K26" s="154" t="n"/>
      <c r="L26" s="154" t="n"/>
      <c r="M26" s="149" t="n"/>
      <c r="N26" s="164" t="n"/>
      <c r="O26" s="454" t="n"/>
      <c r="P26" s="290" t="inlineStr">
        <is>
          <t>POSITIVO</t>
        </is>
      </c>
      <c r="Q26" s="437" t="n"/>
      <c r="R26" s="155" t="n"/>
      <c r="S26" s="151" t="n"/>
      <c r="T26" s="141" t="n"/>
      <c r="U26" s="141" t="n"/>
      <c r="V26" s="141" t="n"/>
      <c r="W26" s="152" t="n"/>
      <c r="X26" s="141" t="n"/>
      <c r="Y26" s="141" t="n"/>
      <c r="Z26" s="141" t="n"/>
      <c r="AA26" s="141" t="n"/>
    </row>
    <row r="27" hidden="1" ht="15.75" customHeight="1">
      <c r="A27" s="142" t="n"/>
      <c r="B27" s="153" t="inlineStr">
        <is>
          <t>Glycol,  Abs/cm</t>
        </is>
      </c>
      <c r="C27" s="154" t="n">
        <v>0</v>
      </c>
      <c r="D27" s="154" t="n"/>
      <c r="E27" s="154" t="n"/>
      <c r="F27" s="154" t="n"/>
      <c r="G27" s="154" t="n"/>
      <c r="H27" s="154" t="n"/>
      <c r="I27" s="154" t="n"/>
      <c r="J27" s="154" t="n"/>
      <c r="K27" s="154" t="n"/>
      <c r="L27" s="154" t="n"/>
      <c r="M27" s="149" t="n"/>
      <c r="N27" s="168" t="n"/>
      <c r="O27" s="169" t="n"/>
      <c r="P27" s="168" t="n"/>
      <c r="Q27" s="170" t="n"/>
      <c r="R27" s="155" t="n"/>
      <c r="S27" s="151" t="n"/>
      <c r="T27" s="141" t="n"/>
      <c r="U27" s="141" t="n"/>
      <c r="V27" s="141" t="n"/>
      <c r="W27" s="152" t="n"/>
      <c r="X27" s="141" t="n"/>
      <c r="Y27" s="141" t="n"/>
      <c r="Z27" s="141" t="n"/>
    </row>
    <row r="28" hidden="1" ht="15.75" customFormat="1" customHeight="1" s="173">
      <c r="A28" s="171" t="n"/>
      <c r="B28" s="153" t="inlineStr">
        <is>
          <t>Combustible</t>
        </is>
      </c>
      <c r="C28" s="154" t="inlineStr">
        <is>
          <t>NEGATIVO</t>
        </is>
      </c>
      <c r="D28" s="154" t="n"/>
      <c r="E28" s="154" t="n"/>
      <c r="F28" s="154" t="n"/>
      <c r="G28" s="154" t="n"/>
      <c r="H28" s="154" t="n"/>
      <c r="I28" s="154" t="n"/>
      <c r="J28" s="154" t="n"/>
      <c r="K28" s="154" t="n"/>
      <c r="L28" s="154" t="n"/>
      <c r="M28" s="167" t="n"/>
      <c r="N28" s="164" t="n"/>
      <c r="O28" s="454" t="n"/>
      <c r="P28" s="290" t="inlineStr">
        <is>
          <t>POSITIVO</t>
        </is>
      </c>
      <c r="Q28" s="437" t="n"/>
      <c r="R28" s="172" t="n"/>
      <c r="S28" s="151" t="n"/>
      <c r="T28" s="141" t="n"/>
      <c r="U28" s="141" t="n"/>
      <c r="V28" s="141" t="n"/>
      <c r="W28" s="152" t="n"/>
      <c r="X28" s="141" t="n"/>
      <c r="Y28" s="141" t="n"/>
      <c r="Z28" s="141" t="n"/>
      <c r="AA28" s="141" t="n"/>
    </row>
    <row r="29" ht="18" customHeight="1">
      <c r="A29" s="142" t="n"/>
      <c r="B29" s="158" t="n"/>
      <c r="C29" s="158" t="n"/>
      <c r="D29" s="158" t="n"/>
      <c r="E29" s="158" t="n"/>
      <c r="F29" s="158" t="n"/>
      <c r="G29" s="158" t="n"/>
      <c r="H29" s="158" t="n"/>
      <c r="I29" s="158" t="n"/>
      <c r="J29" s="158" t="n"/>
      <c r="K29" s="158" t="n"/>
      <c r="L29" s="158" t="n"/>
      <c r="N29" s="174" t="n"/>
      <c r="O29" s="175" t="n"/>
      <c r="P29" s="175" t="n"/>
      <c r="Q29" s="175" t="n"/>
      <c r="R29" s="155" t="n"/>
      <c r="S29" s="151" t="n"/>
      <c r="T29" s="141" t="n"/>
      <c r="U29" s="141" t="n"/>
      <c r="V29" s="141" t="n"/>
      <c r="W29" s="152" t="n"/>
    </row>
    <row r="30" ht="18" customHeight="1">
      <c r="A30" s="142" t="n"/>
      <c r="B30" s="275" t="inlineStr">
        <is>
          <t>DEGRADACIÓN QUÍMICA</t>
        </is>
      </c>
      <c r="C30" s="446" t="n"/>
      <c r="D30" s="446" t="n"/>
      <c r="E30" s="446" t="n"/>
      <c r="F30" s="446" t="n"/>
      <c r="G30" s="446" t="n"/>
      <c r="H30" s="446" t="n"/>
      <c r="I30" s="446" t="n"/>
      <c r="J30" s="446" t="n"/>
      <c r="K30" s="446" t="n"/>
      <c r="L30" s="447" t="n"/>
      <c r="N30" s="276" t="inlineStr">
        <is>
          <t>* Rangos Generales</t>
        </is>
      </c>
      <c r="O30" s="436" t="n"/>
      <c r="P30" s="436" t="n"/>
      <c r="Q30" s="437" t="n"/>
      <c r="R30" s="155" t="n"/>
      <c r="S30" s="151" t="n"/>
      <c r="T30" s="141" t="n"/>
      <c r="U30" s="141" t="n"/>
      <c r="V30" s="141" t="n"/>
      <c r="W30" s="152" t="n"/>
    </row>
    <row r="31" ht="18" customHeight="1">
      <c r="A31" s="142" t="n"/>
      <c r="B31" s="448" t="n"/>
      <c r="C31" s="449" t="n"/>
      <c r="D31" s="449" t="n"/>
      <c r="E31" s="449" t="n"/>
      <c r="F31" s="449" t="n"/>
      <c r="G31" s="449" t="n"/>
      <c r="H31" s="449" t="n"/>
      <c r="I31" s="449" t="n"/>
      <c r="J31" s="449" t="n"/>
      <c r="K31" s="449" t="n"/>
      <c r="L31" s="450" t="n"/>
      <c r="M31" s="149" t="n"/>
      <c r="N31" s="276" t="inlineStr">
        <is>
          <t>Precaución</t>
        </is>
      </c>
      <c r="O31" s="437" t="n"/>
      <c r="P31" s="276" t="inlineStr">
        <is>
          <t>Anormal</t>
        </is>
      </c>
      <c r="Q31" s="437" t="n"/>
      <c r="R31" s="155" t="n"/>
      <c r="S31" s="151" t="n"/>
      <c r="T31" s="141" t="n"/>
      <c r="U31" s="141" t="n"/>
      <c r="V31" s="141" t="n"/>
      <c r="W31" s="152" t="n"/>
      <c r="X31" s="286" t="n"/>
      <c r="Y31" s="286" t="n"/>
      <c r="Z31" s="286" t="n"/>
      <c r="AA31" s="286" t="n"/>
      <c r="AB31" s="286" t="n"/>
    </row>
    <row r="32" ht="18" customHeight="1">
      <c r="A32" s="142" t="n"/>
      <c r="B32" s="153" t="inlineStr">
        <is>
          <t>Oxidación, Abs/cm</t>
        </is>
      </c>
      <c r="C32" s="456" t="n">
        <v>0</v>
      </c>
      <c r="D32" s="456" t="n"/>
      <c r="E32" s="456" t="n"/>
      <c r="F32" s="456" t="n"/>
      <c r="G32" s="456" t="n"/>
      <c r="H32" s="456" t="n"/>
      <c r="I32" s="456" t="n"/>
      <c r="J32" s="456" t="n"/>
      <c r="K32" s="456" t="n"/>
      <c r="L32" s="456" t="n"/>
      <c r="M32" s="149" t="n"/>
      <c r="N32" s="164" t="n"/>
      <c r="O32" s="177" t="n"/>
      <c r="P32" s="164" t="n"/>
      <c r="Q32" s="177" t="n"/>
      <c r="R32" s="155" t="n"/>
      <c r="S32" s="151" t="n"/>
      <c r="T32" s="141" t="n"/>
      <c r="U32" s="141" t="n"/>
      <c r="V32" s="141" t="n"/>
      <c r="W32" s="152" t="n"/>
      <c r="X32" s="141" t="n"/>
      <c r="Y32" s="141" t="n"/>
      <c r="Z32" s="141" t="n"/>
    </row>
    <row r="33" hidden="1" ht="15.75" customHeight="1">
      <c r="A33" s="142" t="n"/>
      <c r="B33" s="153" t="inlineStr">
        <is>
          <t>Nitración, Abs/cm</t>
        </is>
      </c>
      <c r="C33" s="423" t="n">
        <v>0</v>
      </c>
      <c r="D33" s="423" t="n"/>
      <c r="E33" s="423" t="n"/>
      <c r="F33" s="423" t="n"/>
      <c r="G33" s="423" t="n"/>
      <c r="H33" s="423" t="n"/>
      <c r="I33" s="423" t="n"/>
      <c r="J33" s="423" t="n"/>
      <c r="K33" s="423" t="n"/>
      <c r="L33" s="423" t="n"/>
      <c r="M33" s="149" t="n"/>
      <c r="N33" s="164" t="n"/>
      <c r="O33" s="177" t="n"/>
      <c r="P33" s="164" t="n"/>
      <c r="Q33" s="177" t="n"/>
      <c r="R33" s="155" t="n"/>
      <c r="S33" s="151" t="n"/>
      <c r="T33" s="141" t="n"/>
      <c r="U33" s="141" t="n"/>
      <c r="V33" s="141" t="n"/>
      <c r="W33" s="152" t="n"/>
    </row>
    <row r="34" hidden="1" ht="15.75" customHeight="1">
      <c r="A34" s="142" t="n"/>
      <c r="B34" s="153" t="inlineStr">
        <is>
          <t>Sulfatación, Abs/cm</t>
        </is>
      </c>
      <c r="C34" s="423" t="n">
        <v>0</v>
      </c>
      <c r="D34" s="423" t="n"/>
      <c r="E34" s="423" t="n"/>
      <c r="F34" s="423" t="n"/>
      <c r="G34" s="423" t="n"/>
      <c r="H34" s="423" t="n"/>
      <c r="I34" s="423" t="n"/>
      <c r="J34" s="423" t="n"/>
      <c r="K34" s="423" t="n"/>
      <c r="L34" s="423" t="n"/>
      <c r="M34" s="149" t="n"/>
      <c r="N34" s="164" t="n"/>
      <c r="O34" s="177" t="n"/>
      <c r="P34" s="164" t="n"/>
      <c r="Q34" s="177" t="n"/>
      <c r="R34" s="155" t="n"/>
      <c r="S34" s="151" t="n"/>
      <c r="T34" s="141" t="n"/>
      <c r="U34" s="141" t="n"/>
      <c r="V34" s="141" t="n"/>
      <c r="W34" s="152" t="n"/>
    </row>
    <row r="35" hidden="1" ht="15.75" customHeight="1">
      <c r="A35" s="142" t="n"/>
      <c r="B35" s="153" t="inlineStr">
        <is>
          <t>Hollín, wt%</t>
        </is>
      </c>
      <c r="C35" s="423" t="n">
        <v>0</v>
      </c>
      <c r="D35" s="423" t="n"/>
      <c r="E35" s="423" t="n"/>
      <c r="F35" s="423" t="n"/>
      <c r="G35" s="423" t="n"/>
      <c r="H35" s="423" t="n"/>
      <c r="I35" s="423" t="n"/>
      <c r="J35" s="423" t="n"/>
      <c r="K35" s="423" t="n"/>
      <c r="L35" s="423" t="n"/>
      <c r="M35" s="149" t="n"/>
      <c r="N35" s="164" t="n"/>
      <c r="O35" s="178" t="n"/>
      <c r="P35" s="164" t="n"/>
      <c r="Q35" s="177" t="n"/>
      <c r="R35" s="155" t="n"/>
      <c r="S35" s="151" t="n"/>
      <c r="T35" s="141" t="n"/>
      <c r="U35" s="141" t="n"/>
      <c r="V35" s="141" t="n"/>
      <c r="W35" s="152" t="n"/>
    </row>
    <row r="36" ht="18" customHeight="1">
      <c r="A36" s="142" t="n"/>
      <c r="B36" s="158" t="n"/>
      <c r="C36" s="158" t="n"/>
      <c r="D36" s="158" t="n"/>
      <c r="E36" s="158" t="n"/>
      <c r="F36" s="158" t="n"/>
      <c r="G36" s="158" t="n"/>
      <c r="H36" s="158" t="n"/>
      <c r="I36" s="158" t="n"/>
      <c r="J36" s="158" t="n"/>
      <c r="K36" s="158" t="n"/>
      <c r="L36" s="158" t="n"/>
      <c r="N36" s="174" t="n"/>
      <c r="O36" s="175" t="n"/>
      <c r="P36" s="175" t="n"/>
      <c r="Q36" s="175" t="n"/>
      <c r="R36" s="155" t="n"/>
      <c r="S36" s="151" t="n"/>
      <c r="T36" s="141" t="n"/>
      <c r="U36" s="141" t="n"/>
      <c r="V36" s="141" t="n"/>
      <c r="W36" s="152" t="n"/>
      <c r="X36" s="141" t="n"/>
      <c r="Y36" s="141" t="n"/>
      <c r="Z36" s="141" t="n"/>
      <c r="AA36" s="141" t="n"/>
    </row>
    <row r="37" ht="18" customHeight="1">
      <c r="A37" s="142" t="n"/>
      <c r="B37" s="275" t="inlineStr">
        <is>
          <t>CONTAMINACIÓN DEL LUBRICANTE - PPM (mg/kg)</t>
        </is>
      </c>
      <c r="C37" s="446" t="n"/>
      <c r="D37" s="446" t="n"/>
      <c r="E37" s="446" t="n"/>
      <c r="F37" s="446" t="n"/>
      <c r="G37" s="446" t="n"/>
      <c r="H37" s="446" t="n"/>
      <c r="I37" s="446" t="n"/>
      <c r="J37" s="446" t="n"/>
      <c r="K37" s="446" t="n"/>
      <c r="L37" s="447" t="n"/>
      <c r="N37" s="276" t="inlineStr">
        <is>
          <t>* Rangos Generales</t>
        </is>
      </c>
      <c r="O37" s="436" t="n"/>
      <c r="P37" s="436" t="n"/>
      <c r="Q37" s="437" t="n"/>
      <c r="R37" s="155" t="n"/>
      <c r="S37" s="151" t="n"/>
      <c r="T37" s="141" t="n"/>
      <c r="U37" s="141" t="n"/>
      <c r="V37" s="141" t="n"/>
      <c r="W37" s="152" t="n"/>
      <c r="X37" s="141" t="n"/>
      <c r="Y37" s="141" t="n"/>
      <c r="Z37" s="141" t="n"/>
      <c r="AA37" s="141" t="n"/>
    </row>
    <row r="38" ht="18" customHeight="1">
      <c r="A38" s="142" t="n"/>
      <c r="B38" s="448" t="n"/>
      <c r="C38" s="449" t="n"/>
      <c r="D38" s="449" t="n"/>
      <c r="E38" s="449" t="n"/>
      <c r="F38" s="449" t="n"/>
      <c r="G38" s="449" t="n"/>
      <c r="H38" s="449" t="n"/>
      <c r="I38" s="449" t="n"/>
      <c r="J38" s="449" t="n"/>
      <c r="K38" s="449" t="n"/>
      <c r="L38" s="450" t="n"/>
      <c r="M38" s="149" t="n"/>
      <c r="N38" s="276" t="inlineStr">
        <is>
          <t>Precaución</t>
        </is>
      </c>
      <c r="O38" s="437" t="n"/>
      <c r="P38" s="276" t="inlineStr">
        <is>
          <t>Anormal</t>
        </is>
      </c>
      <c r="Q38" s="437" t="n"/>
      <c r="R38" s="179" t="n"/>
      <c r="S38" s="151" t="n"/>
      <c r="T38" s="141" t="n"/>
      <c r="U38" s="141" t="n"/>
      <c r="V38" s="141" t="n"/>
      <c r="W38" s="152" t="n"/>
      <c r="X38" s="141" t="n"/>
      <c r="Y38" s="141" t="n"/>
      <c r="Z38" s="141" t="n"/>
      <c r="AA38" s="141" t="n"/>
    </row>
    <row r="39" ht="18" customHeight="1">
      <c r="A39" s="142" t="n"/>
      <c r="B39" s="153" t="inlineStr">
        <is>
          <t>Si (Silicio)</t>
        </is>
      </c>
      <c r="C39" s="154" t="n">
        <v>0</v>
      </c>
      <c r="D39" s="154" t="n"/>
      <c r="E39" s="154" t="n"/>
      <c r="F39" s="154" t="n"/>
      <c r="G39" s="154" t="n"/>
      <c r="H39" s="154" t="n"/>
      <c r="I39" s="154" t="n"/>
      <c r="J39" s="154" t="n"/>
      <c r="K39" s="154" t="n"/>
      <c r="L39" s="154" t="n"/>
      <c r="M39" s="149" t="n"/>
      <c r="N39" s="164" t="n"/>
      <c r="O39" s="177" t="n"/>
      <c r="P39" s="164" t="n"/>
      <c r="Q39" s="177" t="n"/>
      <c r="R39" s="155" t="n"/>
      <c r="S39" s="151" t="n"/>
      <c r="T39" s="141" t="n"/>
      <c r="U39" s="141" t="n"/>
      <c r="V39" s="141" t="n"/>
      <c r="W39" s="152" t="n"/>
      <c r="X39" s="141" t="n"/>
      <c r="Y39" s="141" t="n"/>
      <c r="Z39" s="141" t="n"/>
      <c r="AA39" s="141" t="n"/>
    </row>
    <row r="40" ht="18" customHeight="1">
      <c r="A40" s="142" t="n"/>
      <c r="B40" s="153" t="inlineStr">
        <is>
          <t>Na (Sodio)</t>
        </is>
      </c>
      <c r="C40" s="154" t="n">
        <v>0</v>
      </c>
      <c r="D40" s="154" t="n"/>
      <c r="E40" s="154" t="n"/>
      <c r="F40" s="154" t="n"/>
      <c r="G40" s="154" t="n"/>
      <c r="H40" s="154" t="n"/>
      <c r="I40" s="154" t="n"/>
      <c r="J40" s="154" t="n"/>
      <c r="K40" s="154" t="n"/>
      <c r="L40" s="154" t="n"/>
      <c r="M40" s="149" t="n"/>
      <c r="N40" s="164" t="n"/>
      <c r="O40" s="177" t="n"/>
      <c r="P40" s="164" t="n"/>
      <c r="Q40" s="177" t="n"/>
      <c r="R40" s="155" t="n"/>
      <c r="S40" s="151" t="n"/>
      <c r="T40" s="141" t="n"/>
      <c r="U40" s="141" t="n"/>
      <c r="V40" s="141" t="n"/>
      <c r="W40" s="152" t="n"/>
      <c r="X40" s="141" t="n"/>
      <c r="Y40" s="141" t="n"/>
      <c r="Z40" s="141" t="n"/>
      <c r="AA40" s="141" t="n"/>
    </row>
    <row r="41" ht="18" customHeight="1">
      <c r="A41" s="142" t="n"/>
      <c r="B41" s="153" t="inlineStr">
        <is>
          <t>Vanadio (V)</t>
        </is>
      </c>
      <c r="C41" s="154" t="n">
        <v>0</v>
      </c>
      <c r="D41" s="154" t="n"/>
      <c r="E41" s="154" t="n"/>
      <c r="F41" s="154" t="n"/>
      <c r="G41" s="154" t="n"/>
      <c r="H41" s="154" t="n"/>
      <c r="I41" s="154" t="n"/>
      <c r="J41" s="154" t="n"/>
      <c r="K41" s="154" t="n"/>
      <c r="L41" s="154" t="n"/>
      <c r="M41" s="149" t="n"/>
      <c r="N41" s="164" t="n"/>
      <c r="O41" s="177" t="n"/>
      <c r="P41" s="164" t="n"/>
      <c r="Q41" s="177" t="n"/>
      <c r="R41" s="155" t="n"/>
      <c r="S41" s="151" t="n"/>
      <c r="T41" s="141" t="n"/>
      <c r="U41" s="141" t="n"/>
      <c r="V41" s="141" t="n"/>
      <c r="W41" s="152" t="n"/>
      <c r="X41" s="141" t="n"/>
      <c r="Y41" s="141" t="n"/>
      <c r="Z41" s="141" t="n"/>
      <c r="AA41" s="141" t="n"/>
    </row>
    <row r="42" ht="18" customFormat="1" customHeight="1" s="173">
      <c r="A42" s="171" t="n"/>
      <c r="B42" s="153" t="inlineStr">
        <is>
          <t>Ni (Niquel)</t>
        </is>
      </c>
      <c r="C42" s="154" t="n">
        <v>0</v>
      </c>
      <c r="D42" s="154" t="n"/>
      <c r="E42" s="154" t="n"/>
      <c r="F42" s="154" t="n"/>
      <c r="G42" s="154" t="n"/>
      <c r="H42" s="154" t="n"/>
      <c r="I42" s="154" t="n"/>
      <c r="J42" s="154" t="n"/>
      <c r="K42" s="154" t="n"/>
      <c r="L42" s="154" t="n"/>
      <c r="M42" s="140" t="n"/>
      <c r="N42" s="164" t="n"/>
      <c r="O42" s="178" t="n"/>
      <c r="P42" s="164" t="n"/>
      <c r="Q42" s="178" t="n"/>
      <c r="R42" s="172" t="n"/>
      <c r="S42" s="151" t="n"/>
      <c r="T42" s="141" t="n"/>
      <c r="U42" s="141" t="n"/>
      <c r="V42" s="141" t="n"/>
      <c r="W42" s="152" t="n"/>
      <c r="X42" s="141" t="n"/>
      <c r="Y42" s="141" t="n"/>
      <c r="Z42" s="141" t="n"/>
      <c r="AA42" s="141" t="n"/>
    </row>
    <row r="43" ht="18" customFormat="1" customHeight="1" s="173">
      <c r="A43" s="171" t="n"/>
      <c r="B43" s="158" t="n"/>
      <c r="C43" s="158" t="n"/>
      <c r="D43" s="158" t="n"/>
      <c r="E43" s="158" t="n"/>
      <c r="F43" s="158" t="n"/>
      <c r="G43" s="158" t="n"/>
      <c r="H43" s="158" t="n"/>
      <c r="I43" s="158" t="n"/>
      <c r="J43" s="158" t="n"/>
      <c r="K43" s="158" t="n"/>
      <c r="L43" s="158" t="n"/>
      <c r="M43" s="141" t="n"/>
      <c r="N43" s="180" t="n"/>
      <c r="O43" s="180" t="n"/>
      <c r="P43" s="180" t="n"/>
      <c r="Q43" s="180" t="n"/>
      <c r="R43" s="172" t="n"/>
      <c r="S43" s="151" t="n"/>
      <c r="T43" s="141" t="n"/>
      <c r="U43" s="141" t="n"/>
      <c r="V43" s="141" t="n"/>
      <c r="W43" s="152" t="n"/>
      <c r="X43" s="141" t="n"/>
      <c r="Y43" s="141" t="n"/>
      <c r="Z43" s="141" t="n"/>
      <c r="AA43" s="141" t="n"/>
    </row>
    <row r="44" ht="18" customHeight="1">
      <c r="A44" s="142" t="n"/>
      <c r="B44" s="275" t="inlineStr">
        <is>
          <t>DESGATE DEL EQUIPO  - PPM (mg/kg)</t>
        </is>
      </c>
      <c r="C44" s="446" t="n"/>
      <c r="D44" s="446" t="n"/>
      <c r="E44" s="446" t="n"/>
      <c r="F44" s="446" t="n"/>
      <c r="G44" s="446" t="n"/>
      <c r="H44" s="446" t="n"/>
      <c r="I44" s="446" t="n"/>
      <c r="J44" s="446" t="n"/>
      <c r="K44" s="446" t="n"/>
      <c r="L44" s="447" t="n"/>
      <c r="N44" s="276" t="inlineStr">
        <is>
          <t>* Rangos Generales</t>
        </is>
      </c>
      <c r="O44" s="436" t="n"/>
      <c r="P44" s="436" t="n"/>
      <c r="Q44" s="437" t="n"/>
      <c r="R44" s="155" t="n"/>
      <c r="S44" s="151" t="n"/>
      <c r="T44" s="141" t="n"/>
      <c r="U44" s="141" t="n"/>
      <c r="V44" s="141" t="n"/>
      <c r="W44" s="152" t="n"/>
      <c r="X44" s="141" t="n"/>
      <c r="Y44" s="141" t="n"/>
      <c r="Z44" s="141" t="n"/>
      <c r="AA44" s="141" t="n"/>
    </row>
    <row r="45" ht="18" customHeight="1">
      <c r="A45" s="142" t="n"/>
      <c r="B45" s="448" t="n"/>
      <c r="C45" s="449" t="n"/>
      <c r="D45" s="449" t="n"/>
      <c r="E45" s="449" t="n"/>
      <c r="F45" s="449" t="n"/>
      <c r="G45" s="449" t="n"/>
      <c r="H45" s="449" t="n"/>
      <c r="I45" s="449" t="n"/>
      <c r="J45" s="449" t="n"/>
      <c r="K45" s="449" t="n"/>
      <c r="L45" s="450" t="n"/>
      <c r="M45" s="149" t="n"/>
      <c r="N45" s="276" t="inlineStr">
        <is>
          <t>Precaución</t>
        </is>
      </c>
      <c r="O45" s="437" t="n"/>
      <c r="P45" s="276" t="inlineStr">
        <is>
          <t>Anormal</t>
        </is>
      </c>
      <c r="Q45" s="437" t="n"/>
      <c r="R45" s="181" t="n"/>
      <c r="S45" s="151" t="n"/>
      <c r="T45" s="141" t="n"/>
      <c r="U45" s="141" t="n"/>
      <c r="V45" s="141" t="n"/>
      <c r="W45" s="152" t="n"/>
      <c r="X45" s="141" t="n"/>
      <c r="Y45" s="141" t="n"/>
      <c r="Z45" s="141" t="n"/>
      <c r="AA45" s="141" t="n"/>
    </row>
    <row r="46" ht="18" customHeight="1">
      <c r="A46" s="142" t="n"/>
      <c r="B46" s="153" t="inlineStr">
        <is>
          <t>Fe (Hierro)</t>
        </is>
      </c>
      <c r="C46" s="154" t="n">
        <v>0</v>
      </c>
      <c r="D46" s="154" t="n"/>
      <c r="E46" s="154" t="n"/>
      <c r="F46" s="154" t="n"/>
      <c r="G46" s="154" t="n"/>
      <c r="H46" s="154" t="n"/>
      <c r="I46" s="154" t="n"/>
      <c r="J46" s="154" t="n"/>
      <c r="K46" s="154" t="n"/>
      <c r="L46" s="154" t="n"/>
      <c r="M46" s="149" t="n"/>
      <c r="N46" s="164" t="n"/>
      <c r="O46" s="177" t="n"/>
      <c r="P46" s="164" t="n"/>
      <c r="Q46" s="177" t="n"/>
      <c r="R46" s="155" t="n"/>
      <c r="S46" s="151" t="n"/>
      <c r="T46" s="141" t="n"/>
      <c r="U46" s="141" t="n"/>
      <c r="V46" s="141" t="n"/>
      <c r="W46" s="152" t="n"/>
      <c r="X46" s="141" t="n"/>
      <c r="Y46" s="141" t="n"/>
      <c r="Z46" s="141" t="n"/>
      <c r="AA46" s="141" t="n"/>
    </row>
    <row r="47" ht="18" customHeight="1">
      <c r="A47" s="142" t="n"/>
      <c r="B47" s="153" t="inlineStr">
        <is>
          <t>Cr (Cromo)</t>
        </is>
      </c>
      <c r="C47" s="154" t="n">
        <v>0</v>
      </c>
      <c r="D47" s="154" t="n"/>
      <c r="E47" s="154" t="n"/>
      <c r="F47" s="154" t="n"/>
      <c r="G47" s="154" t="n"/>
      <c r="H47" s="154" t="n"/>
      <c r="I47" s="154" t="n"/>
      <c r="J47" s="154" t="n"/>
      <c r="K47" s="154" t="n"/>
      <c r="L47" s="154" t="n"/>
      <c r="M47" s="149" t="n"/>
      <c r="N47" s="164" t="n"/>
      <c r="O47" s="177" t="n"/>
      <c r="P47" s="164" t="n"/>
      <c r="Q47" s="177" t="n"/>
      <c r="R47" s="155" t="n"/>
      <c r="S47" s="151" t="n"/>
      <c r="T47" s="141" t="n"/>
      <c r="U47" s="141" t="n"/>
      <c r="V47" s="141" t="n"/>
      <c r="W47" s="152" t="n"/>
      <c r="X47" s="141" t="n"/>
      <c r="Y47" s="141" t="n"/>
      <c r="Z47" s="141" t="n"/>
      <c r="AA47" s="141" t="n"/>
    </row>
    <row r="48" ht="18" customHeight="1">
      <c r="A48" s="142" t="n"/>
      <c r="B48" s="153" t="inlineStr">
        <is>
          <t>Al (Aluminio)</t>
        </is>
      </c>
      <c r="C48" s="154" t="n">
        <v>0</v>
      </c>
      <c r="D48" s="154" t="n"/>
      <c r="E48" s="154" t="n"/>
      <c r="F48" s="154" t="n"/>
      <c r="G48" s="154" t="n"/>
      <c r="H48" s="154" t="n"/>
      <c r="I48" s="154" t="n"/>
      <c r="J48" s="154" t="n"/>
      <c r="K48" s="154" t="n"/>
      <c r="L48" s="154" t="n"/>
      <c r="M48" s="149" t="n"/>
      <c r="N48" s="164" t="n"/>
      <c r="O48" s="177" t="n"/>
      <c r="P48" s="164" t="n"/>
      <c r="Q48" s="177" t="n"/>
      <c r="R48" s="155" t="n"/>
      <c r="S48" s="151" t="n"/>
      <c r="T48" s="141" t="n"/>
      <c r="U48" s="141" t="n"/>
      <c r="V48" s="141" t="n"/>
      <c r="W48" s="152" t="n"/>
      <c r="X48" s="141" t="n"/>
      <c r="Y48" s="141" t="n"/>
      <c r="Z48" s="141" t="n"/>
      <c r="AA48" s="141" t="n"/>
    </row>
    <row r="49" ht="18" customHeight="1">
      <c r="A49" s="142" t="n"/>
      <c r="B49" s="153" t="inlineStr">
        <is>
          <t>Cu (Cobre)</t>
        </is>
      </c>
      <c r="C49" s="154" t="n">
        <v>0</v>
      </c>
      <c r="D49" s="154" t="n"/>
      <c r="E49" s="154" t="n"/>
      <c r="F49" s="154" t="n"/>
      <c r="G49" s="154" t="n"/>
      <c r="H49" s="154" t="n"/>
      <c r="I49" s="154" t="n"/>
      <c r="J49" s="154" t="n"/>
      <c r="K49" s="154" t="n"/>
      <c r="L49" s="154" t="n"/>
      <c r="M49" s="167" t="n"/>
      <c r="N49" s="164" t="n"/>
      <c r="O49" s="177" t="n"/>
      <c r="P49" s="164" t="n"/>
      <c r="Q49" s="177" t="n"/>
      <c r="R49" s="155" t="n"/>
      <c r="S49" s="151" t="n"/>
      <c r="T49" s="141" t="n"/>
      <c r="U49" s="141" t="n"/>
      <c r="V49" s="141" t="n"/>
      <c r="W49" s="152" t="n"/>
      <c r="X49" s="141" t="n"/>
      <c r="Y49" s="141" t="n"/>
      <c r="Z49" s="141" t="n"/>
      <c r="AA49" s="141" t="n"/>
    </row>
    <row r="50" ht="18" customHeight="1">
      <c r="A50" s="142" t="n"/>
      <c r="B50" s="153" t="inlineStr">
        <is>
          <t>Pb (Plomo)</t>
        </is>
      </c>
      <c r="C50" s="154" t="n">
        <v>0</v>
      </c>
      <c r="D50" s="154" t="n"/>
      <c r="E50" s="154" t="n"/>
      <c r="F50" s="154" t="n"/>
      <c r="G50" s="154" t="n"/>
      <c r="H50" s="154" t="n"/>
      <c r="I50" s="154" t="n"/>
      <c r="J50" s="154" t="n"/>
      <c r="K50" s="154" t="n"/>
      <c r="L50" s="154" t="n"/>
      <c r="M50" s="149" t="n"/>
      <c r="N50" s="164" t="n"/>
      <c r="O50" s="177" t="n"/>
      <c r="P50" s="164" t="n"/>
      <c r="Q50" s="177" t="n"/>
      <c r="R50" s="155" t="n"/>
      <c r="S50" s="151" t="n"/>
      <c r="T50" s="141" t="n"/>
      <c r="U50" s="141" t="n"/>
      <c r="V50" s="141" t="n"/>
      <c r="W50" s="152" t="n"/>
      <c r="X50" s="141" t="n"/>
      <c r="Y50" s="141" t="n"/>
      <c r="Z50" s="141" t="n"/>
      <c r="AA50" s="141" t="n"/>
    </row>
    <row r="51" ht="18" customFormat="1" customHeight="1" s="173">
      <c r="A51" s="171" t="n"/>
      <c r="B51" s="153" t="inlineStr">
        <is>
          <t>Estaño (Sn)</t>
        </is>
      </c>
      <c r="C51" s="154" t="n">
        <v>0</v>
      </c>
      <c r="D51" s="154" t="n"/>
      <c r="E51" s="154" t="n"/>
      <c r="F51" s="154" t="n"/>
      <c r="G51" s="154" t="n"/>
      <c r="H51" s="154" t="n"/>
      <c r="I51" s="154" t="n"/>
      <c r="J51" s="154" t="n"/>
      <c r="K51" s="154" t="n"/>
      <c r="L51" s="154" t="n"/>
      <c r="M51" s="149" t="n"/>
      <c r="N51" s="164" t="n"/>
      <c r="O51" s="177" t="n"/>
      <c r="P51" s="164" t="n"/>
      <c r="Q51" s="177" t="n"/>
      <c r="R51" s="172" t="n"/>
      <c r="S51" s="151" t="n"/>
      <c r="T51" s="141" t="n"/>
      <c r="U51" s="141" t="n"/>
      <c r="V51" s="141" t="n"/>
      <c r="W51" s="152" t="n"/>
      <c r="X51" s="141" t="n"/>
      <c r="Y51" s="141" t="n"/>
      <c r="Z51" s="141" t="n"/>
    </row>
    <row r="52" ht="18" customHeight="1">
      <c r="A52" s="142" t="n"/>
      <c r="B52" s="158" t="n"/>
      <c r="C52" s="158" t="n"/>
      <c r="D52" s="158" t="n"/>
      <c r="E52" s="158" t="n"/>
      <c r="F52" s="158" t="n"/>
      <c r="G52" s="158" t="n"/>
      <c r="H52" s="158" t="n"/>
      <c r="I52" s="158" t="n"/>
      <c r="J52" s="158" t="n"/>
      <c r="K52" s="158" t="n"/>
      <c r="L52" s="158" t="n"/>
      <c r="N52" s="174" t="n"/>
      <c r="O52" s="182" t="n"/>
      <c r="P52" s="183" t="n"/>
      <c r="Q52" s="183" t="n"/>
      <c r="R52" s="155" t="n"/>
      <c r="S52" s="151" t="n"/>
      <c r="T52" s="141" t="n"/>
      <c r="U52" s="141" t="n"/>
      <c r="V52" s="141" t="n"/>
      <c r="W52" s="152" t="n"/>
      <c r="X52" s="141" t="n"/>
      <c r="Y52" s="141" t="n"/>
      <c r="Z52" s="141" t="n"/>
      <c r="AA52" s="141" t="n"/>
    </row>
    <row r="53" ht="18" customFormat="1" customHeight="1" s="173">
      <c r="A53" s="171" t="n"/>
      <c r="B53" s="275" t="inlineStr">
        <is>
          <t>OTROS ELEMENTOS - PPM (mg/kg)</t>
        </is>
      </c>
      <c r="C53" s="446" t="n"/>
      <c r="D53" s="446" t="n"/>
      <c r="E53" s="446" t="n"/>
      <c r="F53" s="446" t="n"/>
      <c r="G53" s="446" t="n"/>
      <c r="H53" s="446" t="n"/>
      <c r="I53" s="446" t="n"/>
      <c r="J53" s="446" t="n"/>
      <c r="K53" s="446" t="n"/>
      <c r="L53" s="447" t="n"/>
      <c r="M53" s="140" t="n"/>
      <c r="N53" s="276" t="inlineStr">
        <is>
          <t>* Rangos Generales</t>
        </is>
      </c>
      <c r="O53" s="436" t="n"/>
      <c r="P53" s="436" t="n"/>
      <c r="Q53" s="437" t="n"/>
      <c r="R53" s="172" t="n"/>
      <c r="S53" s="151" t="n"/>
      <c r="T53" s="141" t="n"/>
      <c r="U53" s="141" t="n"/>
      <c r="V53" s="141" t="n"/>
      <c r="W53" s="152" t="n"/>
      <c r="X53" s="141" t="n"/>
      <c r="Y53" s="141" t="n"/>
      <c r="Z53" s="141" t="n"/>
      <c r="AA53" s="141" t="n"/>
    </row>
    <row r="54" ht="18" customFormat="1" customHeight="1" s="173">
      <c r="A54" s="171" t="n"/>
      <c r="B54" s="448" t="n"/>
      <c r="C54" s="449" t="n"/>
      <c r="D54" s="449" t="n"/>
      <c r="E54" s="449" t="n"/>
      <c r="F54" s="449" t="n"/>
      <c r="G54" s="449" t="n"/>
      <c r="H54" s="449" t="n"/>
      <c r="I54" s="449" t="n"/>
      <c r="J54" s="449" t="n"/>
      <c r="K54" s="449" t="n"/>
      <c r="L54" s="450" t="n"/>
      <c r="M54" s="149" t="n"/>
      <c r="N54" s="276" t="inlineStr">
        <is>
          <t>Precaución</t>
        </is>
      </c>
      <c r="O54" s="437" t="n"/>
      <c r="P54" s="276" t="inlineStr">
        <is>
          <t>Anormal</t>
        </is>
      </c>
      <c r="Q54" s="437" t="n"/>
      <c r="R54" s="172" t="n"/>
      <c r="S54" s="151" t="n"/>
      <c r="T54" s="141" t="n"/>
      <c r="U54" s="141" t="n"/>
      <c r="V54" s="141" t="n"/>
      <c r="W54" s="152" t="n"/>
      <c r="X54" s="141" t="n"/>
      <c r="Y54" s="141" t="n"/>
      <c r="Z54" s="141" t="n"/>
    </row>
    <row r="55" ht="18" customFormat="1" customHeight="1" s="173">
      <c r="A55" s="171" t="n"/>
      <c r="B55" s="153" t="inlineStr">
        <is>
          <t>Mo (Molibdeno)</t>
        </is>
      </c>
      <c r="C55" s="154" t="n">
        <v>0</v>
      </c>
      <c r="D55" s="154" t="n"/>
      <c r="E55" s="154" t="n"/>
      <c r="F55" s="154" t="n"/>
      <c r="G55" s="154" t="n"/>
      <c r="H55" s="154" t="n"/>
      <c r="I55" s="154" t="n"/>
      <c r="J55" s="154" t="n"/>
      <c r="K55" s="154" t="n"/>
      <c r="L55" s="154" t="n"/>
      <c r="M55" s="149" t="n"/>
      <c r="N55" s="164" t="n"/>
      <c r="O55" s="178" t="n"/>
      <c r="P55" s="164" t="n"/>
      <c r="Q55" s="178" t="n"/>
      <c r="R55" s="172" t="n"/>
      <c r="S55" s="151" t="n"/>
      <c r="T55" s="141" t="n"/>
      <c r="U55" s="141" t="n"/>
      <c r="V55" s="141" t="n"/>
      <c r="W55" s="152" t="n"/>
      <c r="X55" s="141" t="n"/>
      <c r="Y55" s="141" t="n"/>
      <c r="Z55" s="141" t="n"/>
    </row>
    <row r="56" ht="18" customFormat="1" customHeight="1" s="173">
      <c r="A56" s="171" t="n"/>
      <c r="B56" s="153" t="inlineStr">
        <is>
          <t>B (Boro)</t>
        </is>
      </c>
      <c r="C56" s="154" t="n">
        <v>0</v>
      </c>
      <c r="D56" s="154" t="n"/>
      <c r="E56" s="154" t="n"/>
      <c r="F56" s="154" t="n"/>
      <c r="G56" s="154" t="n"/>
      <c r="H56" s="154" t="n"/>
      <c r="I56" s="154" t="n"/>
      <c r="J56" s="154" t="n"/>
      <c r="K56" s="154" t="n"/>
      <c r="L56" s="154" t="n"/>
      <c r="M56" s="149" t="n"/>
      <c r="N56" s="164" t="n"/>
      <c r="O56" s="178" t="n"/>
      <c r="P56" s="164" t="n"/>
      <c r="Q56" s="178" t="n"/>
      <c r="R56" s="172" t="n"/>
      <c r="S56" s="151" t="n"/>
      <c r="T56" s="141" t="n"/>
      <c r="U56" s="141" t="n"/>
      <c r="V56" s="141" t="n"/>
      <c r="W56" s="152" t="n"/>
      <c r="X56" s="141" t="n"/>
      <c r="Y56" s="141" t="n"/>
      <c r="Z56" s="141" t="n"/>
    </row>
    <row r="57" ht="18" customFormat="1" customHeight="1" s="173">
      <c r="A57" s="171" t="n"/>
      <c r="B57" s="153" t="inlineStr">
        <is>
          <t>Ba (Bario)</t>
        </is>
      </c>
      <c r="C57" s="154" t="n">
        <v>0</v>
      </c>
      <c r="D57" s="154" t="n"/>
      <c r="E57" s="154" t="n"/>
      <c r="F57" s="154" t="n"/>
      <c r="G57" s="154" t="n"/>
      <c r="H57" s="154" t="n"/>
      <c r="I57" s="154" t="n"/>
      <c r="J57" s="154" t="n"/>
      <c r="K57" s="154" t="n"/>
      <c r="L57" s="154" t="n"/>
      <c r="M57" s="149" t="n"/>
      <c r="N57" s="164" t="n"/>
      <c r="O57" s="178" t="n"/>
      <c r="P57" s="164" t="n"/>
      <c r="Q57" s="178" t="n"/>
      <c r="R57" s="172" t="n"/>
      <c r="S57" s="151" t="n"/>
      <c r="T57" s="141" t="n"/>
      <c r="U57" s="141" t="n"/>
      <c r="V57" s="141" t="n"/>
      <c r="W57" s="152" t="n"/>
      <c r="X57" s="141" t="n"/>
      <c r="Y57" s="141" t="n"/>
      <c r="Z57" s="141" t="n"/>
    </row>
    <row r="58" ht="18" customFormat="1" customHeight="1" s="173">
      <c r="A58" s="171" t="n"/>
      <c r="B58" s="153" t="inlineStr">
        <is>
          <t>Ti (Titaniao)</t>
        </is>
      </c>
      <c r="C58" s="154" t="n">
        <v>0</v>
      </c>
      <c r="D58" s="154" t="n"/>
      <c r="E58" s="154" t="n"/>
      <c r="F58" s="154" t="n"/>
      <c r="G58" s="154" t="n"/>
      <c r="H58" s="154" t="n"/>
      <c r="I58" s="154" t="n"/>
      <c r="J58" s="154" t="n"/>
      <c r="K58" s="154" t="n"/>
      <c r="L58" s="154" t="n"/>
      <c r="M58" s="140" t="n"/>
      <c r="N58" s="164" t="n"/>
      <c r="O58" s="178" t="n"/>
      <c r="P58" s="164" t="n"/>
      <c r="Q58" s="178" t="n"/>
      <c r="R58" s="172" t="n"/>
      <c r="S58" s="151" t="n"/>
      <c r="T58" s="141" t="n"/>
      <c r="U58" s="141" t="n"/>
      <c r="V58" s="141" t="n"/>
      <c r="W58" s="152" t="n"/>
      <c r="X58" s="141" t="n"/>
      <c r="Y58" s="141" t="n"/>
      <c r="Z58" s="141" t="n"/>
      <c r="AA58" s="141" t="n"/>
    </row>
    <row r="59" ht="18" customFormat="1" customHeight="1" s="173">
      <c r="A59" s="171" t="n"/>
      <c r="B59" s="153" t="inlineStr">
        <is>
          <t>Ag (Plata)</t>
        </is>
      </c>
      <c r="C59" s="154" t="n">
        <v>0</v>
      </c>
      <c r="D59" s="154" t="n"/>
      <c r="E59" s="154" t="n"/>
      <c r="F59" s="154" t="n"/>
      <c r="G59" s="154" t="n"/>
      <c r="H59" s="154" t="n"/>
      <c r="I59" s="154" t="n"/>
      <c r="J59" s="154" t="n"/>
      <c r="K59" s="154" t="n"/>
      <c r="L59" s="154" t="n"/>
      <c r="M59" s="149" t="n"/>
      <c r="N59" s="164" t="n"/>
      <c r="O59" s="178" t="n"/>
      <c r="P59" s="164" t="n"/>
      <c r="Q59" s="178" t="n"/>
      <c r="R59" s="172" t="n"/>
      <c r="S59" s="151" t="n"/>
      <c r="T59" s="141" t="n"/>
      <c r="U59" s="141" t="n"/>
      <c r="V59" s="141" t="n"/>
      <c r="W59" s="152" t="n"/>
      <c r="X59" s="141" t="n"/>
      <c r="Y59" s="141" t="n"/>
      <c r="Z59" s="141" t="n"/>
      <c r="AA59" s="141" t="n"/>
    </row>
    <row r="60" ht="18" customFormat="1" customHeight="1" s="173">
      <c r="A60" s="171" t="n"/>
      <c r="B60" s="158" t="n"/>
      <c r="C60" s="158" t="n"/>
      <c r="D60" s="158" t="n"/>
      <c r="E60" s="158" t="n"/>
      <c r="F60" s="158" t="n"/>
      <c r="G60" s="158" t="n"/>
      <c r="H60" s="158" t="n"/>
      <c r="I60" s="158" t="n"/>
      <c r="J60" s="158" t="n"/>
      <c r="K60" s="158" t="n"/>
      <c r="L60" s="158" t="n"/>
      <c r="M60" s="141" t="n"/>
      <c r="N60" s="141" t="n"/>
      <c r="O60" s="141" t="n"/>
      <c r="P60" s="141" t="n"/>
      <c r="Q60" s="141" t="n"/>
      <c r="R60" s="172" t="n"/>
      <c r="S60" s="151" t="n"/>
      <c r="T60" s="141" t="n"/>
      <c r="U60" s="141" t="n"/>
      <c r="V60" s="141" t="n"/>
      <c r="W60" s="152" t="n"/>
      <c r="X60" s="141" t="n"/>
      <c r="Y60" s="141" t="n"/>
      <c r="Z60" s="141" t="n"/>
      <c r="AA60" s="141" t="n"/>
    </row>
    <row r="61" ht="18" customFormat="1" customHeight="1" s="173">
      <c r="A61" s="171" t="n"/>
      <c r="B61" s="275" t="inlineStr">
        <is>
          <t>PRESENCIA DE ADITIVOS - PPM (mg/kg)</t>
        </is>
      </c>
      <c r="C61" s="446" t="n"/>
      <c r="D61" s="446" t="n"/>
      <c r="E61" s="446" t="n"/>
      <c r="F61" s="446" t="n"/>
      <c r="G61" s="446" t="n"/>
      <c r="H61" s="446" t="n"/>
      <c r="I61" s="446" t="n"/>
      <c r="J61" s="446" t="n"/>
      <c r="K61" s="446" t="n"/>
      <c r="L61" s="447" t="n"/>
      <c r="M61" s="141" t="n"/>
      <c r="N61" s="141" t="n"/>
      <c r="O61" s="141" t="n"/>
      <c r="P61" s="141" t="n"/>
      <c r="Q61" s="141" t="n"/>
      <c r="R61" s="172" t="n"/>
      <c r="S61" s="151" t="n"/>
      <c r="T61" s="141" t="n"/>
      <c r="U61" s="141" t="n"/>
      <c r="V61" s="141" t="n"/>
      <c r="W61" s="152" t="n"/>
      <c r="X61" s="141" t="n"/>
      <c r="Y61" s="141" t="n"/>
      <c r="Z61" s="141" t="n"/>
      <c r="AA61" s="141" t="n"/>
    </row>
    <row r="62" ht="18" customHeight="1">
      <c r="A62" s="142" t="n"/>
      <c r="B62" s="448" t="n"/>
      <c r="C62" s="449" t="n"/>
      <c r="D62" s="449" t="n"/>
      <c r="E62" s="449" t="n"/>
      <c r="F62" s="449" t="n"/>
      <c r="G62" s="449" t="n"/>
      <c r="H62" s="449" t="n"/>
      <c r="I62" s="449" t="n"/>
      <c r="J62" s="449" t="n"/>
      <c r="K62" s="449" t="n"/>
      <c r="L62" s="450" t="n"/>
      <c r="M62" s="141" t="n"/>
      <c r="N62" s="141" t="n"/>
      <c r="O62" s="141" t="n"/>
      <c r="P62" s="141" t="n"/>
      <c r="Q62" s="141" t="n"/>
      <c r="R62" s="155" t="n"/>
      <c r="S62" s="151" t="n"/>
      <c r="T62" s="141" t="n"/>
      <c r="U62" s="141" t="n"/>
      <c r="V62" s="141" t="n"/>
      <c r="W62" s="152" t="n"/>
      <c r="X62" s="141" t="n"/>
      <c r="Y62" s="141" t="n"/>
      <c r="Z62" s="141" t="n"/>
      <c r="AA62" s="141" t="n"/>
    </row>
    <row r="63" ht="18" customHeight="1">
      <c r="A63" s="142" t="n"/>
      <c r="B63" s="153" t="inlineStr">
        <is>
          <t>Ca (Calcio)</t>
        </is>
      </c>
      <c r="C63" s="154" t="n">
        <v>0</v>
      </c>
      <c r="D63" s="154" t="n"/>
      <c r="E63" s="154" t="n"/>
      <c r="F63" s="154" t="n"/>
      <c r="G63" s="154" t="n"/>
      <c r="H63" s="154" t="n"/>
      <c r="I63" s="154" t="n"/>
      <c r="J63" s="154" t="n"/>
      <c r="K63" s="154" t="n"/>
      <c r="L63" s="154" t="n"/>
      <c r="M63" s="141" t="n"/>
      <c r="N63" s="141" t="n"/>
      <c r="O63" s="141" t="n"/>
      <c r="P63" s="141" t="n"/>
      <c r="Q63" s="141" t="n"/>
      <c r="R63" s="155" t="n"/>
      <c r="S63" s="151" t="n"/>
      <c r="T63" s="141" t="n"/>
      <c r="U63" s="141" t="n"/>
      <c r="V63" s="141" t="n"/>
      <c r="W63" s="152" t="n"/>
      <c r="X63" s="141" t="n"/>
      <c r="Y63" s="141" t="n"/>
      <c r="Z63" s="141" t="n"/>
      <c r="AA63" s="141" t="n"/>
    </row>
    <row r="64" ht="18" customHeight="1">
      <c r="A64" s="142" t="n"/>
      <c r="B64" s="153" t="inlineStr">
        <is>
          <t>Mg (Magnesio)</t>
        </is>
      </c>
      <c r="C64" s="154" t="n">
        <v>0</v>
      </c>
      <c r="D64" s="154" t="n"/>
      <c r="E64" s="154" t="n"/>
      <c r="F64" s="154" t="n"/>
      <c r="G64" s="154" t="n"/>
      <c r="H64" s="154" t="n"/>
      <c r="I64" s="154" t="n"/>
      <c r="J64" s="154" t="n"/>
      <c r="K64" s="154" t="n"/>
      <c r="L64" s="154" t="n"/>
      <c r="M64" s="141" t="n"/>
      <c r="N64" s="141" t="n"/>
      <c r="O64" s="141" t="n"/>
      <c r="P64" s="141" t="n"/>
      <c r="Q64" s="141" t="n"/>
      <c r="R64" s="155" t="n"/>
      <c r="S64" s="151" t="n"/>
      <c r="T64" s="141" t="n"/>
      <c r="U64" s="141" t="n"/>
      <c r="V64" s="141" t="n"/>
      <c r="W64" s="152" t="n"/>
      <c r="X64" s="141" t="n"/>
      <c r="Y64" s="141" t="n"/>
      <c r="Z64" s="141" t="n"/>
      <c r="AA64" s="141" t="n"/>
    </row>
    <row r="65" ht="18" customHeight="1">
      <c r="A65" s="142" t="n"/>
      <c r="B65" s="153" t="inlineStr">
        <is>
          <t>Zn (Zinc)</t>
        </is>
      </c>
      <c r="C65" s="154" t="n">
        <v>0</v>
      </c>
      <c r="D65" s="154" t="n"/>
      <c r="E65" s="154" t="n"/>
      <c r="F65" s="154" t="n"/>
      <c r="G65" s="154" t="n"/>
      <c r="H65" s="154" t="n"/>
      <c r="I65" s="154" t="n"/>
      <c r="J65" s="154" t="n"/>
      <c r="K65" s="154" t="n"/>
      <c r="L65" s="154" t="n"/>
      <c r="M65" s="141" t="n"/>
      <c r="N65" s="141" t="n"/>
      <c r="O65" s="141" t="n"/>
      <c r="P65" s="141" t="n"/>
      <c r="Q65" s="141" t="n"/>
      <c r="R65" s="155" t="n"/>
      <c r="S65" s="151" t="n"/>
      <c r="T65" s="141" t="n"/>
      <c r="U65" s="141" t="n"/>
      <c r="V65" s="141" t="n"/>
      <c r="W65" s="152" t="n"/>
      <c r="X65" s="141" t="n"/>
      <c r="Y65" s="141" t="n"/>
      <c r="Z65" s="141" t="n"/>
      <c r="AA65" s="141" t="n"/>
    </row>
    <row r="66" ht="18" customHeight="1">
      <c r="A66" s="142" t="n"/>
      <c r="B66" s="153" t="inlineStr">
        <is>
          <t>P (Fosforo)</t>
        </is>
      </c>
      <c r="C66" s="154" t="n">
        <v>0</v>
      </c>
      <c r="D66" s="154" t="n"/>
      <c r="E66" s="154" t="n"/>
      <c r="F66" s="154" t="n"/>
      <c r="G66" s="154" t="n"/>
      <c r="H66" s="154" t="n"/>
      <c r="I66" s="154" t="n"/>
      <c r="J66" s="154" t="n"/>
      <c r="K66" s="154" t="n"/>
      <c r="L66" s="154" t="n"/>
      <c r="M66" s="141" t="n"/>
      <c r="N66" s="141" t="n"/>
      <c r="O66" s="141" t="n"/>
      <c r="P66" s="141" t="n"/>
      <c r="Q66" s="141" t="n"/>
      <c r="R66" s="155" t="n"/>
      <c r="S66" s="151" t="n"/>
      <c r="T66" s="141" t="n"/>
      <c r="U66" s="141" t="n"/>
      <c r="V66" s="141" t="n"/>
      <c r="W66" s="152" t="n"/>
      <c r="X66" s="141" t="n"/>
      <c r="Y66" s="141" t="n"/>
      <c r="Z66" s="141" t="n"/>
      <c r="AA66" s="141" t="n"/>
    </row>
    <row r="67" ht="18" customHeight="1" thickBot="1">
      <c r="A67" s="184" t="n"/>
      <c r="B67" s="185" t="n"/>
      <c r="C67" s="185" t="n"/>
      <c r="D67" s="185" t="n"/>
      <c r="E67" s="185" t="n"/>
      <c r="F67" s="185" t="n"/>
      <c r="G67" s="185" t="n"/>
      <c r="H67" s="185" t="n"/>
      <c r="I67" s="185" t="n"/>
      <c r="J67" s="185" t="n"/>
      <c r="K67" s="185" t="n"/>
      <c r="L67" s="185" t="n"/>
      <c r="M67" s="186" t="n"/>
      <c r="N67" s="186" t="n"/>
      <c r="O67" s="187" t="n"/>
      <c r="P67" s="187" t="n"/>
      <c r="Q67" s="187" t="n"/>
      <c r="R67" s="188" t="n"/>
      <c r="S67" s="151" t="n"/>
      <c r="T67" s="141" t="n"/>
      <c r="U67" s="141" t="n"/>
      <c r="V67" s="141" t="n"/>
      <c r="W67" s="152" t="n"/>
      <c r="X67" s="141" t="n"/>
      <c r="Y67" s="141" t="n"/>
      <c r="Z67" s="141" t="n"/>
      <c r="AA67" s="141" t="n"/>
    </row>
    <row r="68" ht="15" customHeight="1">
      <c r="A68" s="189" t="n"/>
      <c r="B68" s="190" t="n"/>
      <c r="C68" s="190" t="n"/>
      <c r="D68" s="190" t="n"/>
      <c r="E68" s="190" t="n"/>
      <c r="F68" s="190" t="n"/>
      <c r="G68" s="190" t="n"/>
      <c r="H68" s="190" t="n"/>
      <c r="I68" s="190" t="n"/>
      <c r="J68" s="190" t="n"/>
      <c r="K68" s="190" t="n"/>
      <c r="L68" s="190" t="n"/>
      <c r="M68" s="190" t="n"/>
      <c r="N68" s="190" t="n"/>
      <c r="O68" s="190" t="n"/>
      <c r="P68" s="190" t="n"/>
      <c r="Q68" s="190" t="n"/>
      <c r="R68" s="190" t="n"/>
      <c r="S68" s="190" t="n"/>
      <c r="T68" s="190" t="n"/>
      <c r="U68" s="190" t="n"/>
      <c r="V68" s="190" t="n"/>
      <c r="W68" s="191" t="n"/>
      <c r="X68" s="141" t="n"/>
      <c r="Y68" s="141" t="n"/>
      <c r="Z68" s="141" t="n"/>
      <c r="AA68" s="141" t="n"/>
    </row>
    <row r="69" ht="15" customHeight="1">
      <c r="A69" s="142" t="n"/>
      <c r="B69" s="149" t="inlineStr">
        <is>
          <t>ELABORADO POR:</t>
        </is>
      </c>
      <c r="D69" s="149" t="inlineStr">
        <is>
          <t>REVISADO POR:</t>
        </is>
      </c>
      <c r="E69" s="149" t="n"/>
      <c r="F69" s="149" t="n"/>
      <c r="W69" s="155" t="n"/>
      <c r="X69" s="141" t="n"/>
      <c r="Y69" s="141" t="n"/>
      <c r="Z69" s="141" t="n"/>
      <c r="AA69" s="141" t="n"/>
    </row>
    <row r="70" ht="42" customHeight="1">
      <c r="A70" s="142" t="n"/>
      <c r="G70" s="141" t="n"/>
      <c r="H70" s="141" t="n"/>
      <c r="I70" s="141" t="n"/>
      <c r="J70" s="141" t="n"/>
      <c r="K70" s="141" t="n"/>
      <c r="L70" s="141" t="n"/>
      <c r="W70" s="155" t="n"/>
      <c r="X70" s="141" t="n"/>
      <c r="Y70" s="141" t="n"/>
      <c r="Z70" s="141" t="n"/>
      <c r="AA70" s="141" t="n"/>
    </row>
    <row r="71" ht="41.25" customHeight="1" thickBot="1">
      <c r="A71" s="142" t="n"/>
      <c r="B71" s="192" t="n"/>
      <c r="D71" s="192" t="n"/>
      <c r="E71" s="192" t="n"/>
      <c r="F71" s="192" t="n"/>
      <c r="G71" s="141" t="n"/>
      <c r="H71" s="141" t="n"/>
      <c r="I71" s="141" t="n"/>
      <c r="J71" s="141" t="n"/>
      <c r="K71" s="141" t="n"/>
      <c r="L71" s="141" t="n"/>
      <c r="W71" s="155" t="n"/>
      <c r="X71" s="141" t="n"/>
      <c r="Y71" s="141" t="n"/>
      <c r="Z71" s="141" t="n"/>
      <c r="AA71" s="141" t="n"/>
    </row>
    <row r="72" ht="15" customHeight="1">
      <c r="A72" s="142" t="n"/>
      <c r="B72" s="149" t="inlineStr">
        <is>
          <t>Analista Autorizado</t>
        </is>
      </c>
      <c r="D72" s="149" t="inlineStr">
        <is>
          <t>Jefe de Servicio Post Venta</t>
        </is>
      </c>
      <c r="E72" s="149" t="n"/>
      <c r="F72" s="149" t="n"/>
      <c r="W72" s="155" t="n"/>
      <c r="X72" s="141" t="n"/>
      <c r="Y72" s="141" t="n"/>
      <c r="Z72" s="141" t="n"/>
      <c r="AA72" s="141" t="n"/>
    </row>
    <row r="73" ht="15" customHeight="1">
      <c r="A73" s="142" t="n"/>
      <c r="B73" s="149" t="inlineStr">
        <is>
          <t>Dpto. Laboratorio</t>
        </is>
      </c>
      <c r="D73" s="149" t="inlineStr">
        <is>
          <t>Dpto. Técnico y Laboratorio</t>
        </is>
      </c>
      <c r="E73" s="149" t="n"/>
      <c r="F73" s="149" t="n"/>
      <c r="W73" s="155" t="n"/>
      <c r="X73" s="141" t="n"/>
      <c r="Y73" s="141" t="n"/>
      <c r="Z73" s="141" t="n"/>
      <c r="AA73" s="141" t="n"/>
    </row>
    <row r="74" ht="12.75" customHeight="1" thickBot="1">
      <c r="A74" s="184" t="n"/>
      <c r="B74" s="193" t="inlineStr">
        <is>
          <t>Lubricantes Internacionales S.A.</t>
        </is>
      </c>
      <c r="C74" s="192" t="n"/>
      <c r="D74" s="193" t="inlineStr">
        <is>
          <t>Lubricantes Internacionales S.A.</t>
        </is>
      </c>
      <c r="E74" s="193" t="n"/>
      <c r="F74" s="193" t="n"/>
      <c r="G74" s="192" t="n"/>
      <c r="H74" s="192" t="n"/>
      <c r="I74" s="192" t="n"/>
      <c r="J74" s="192" t="n"/>
      <c r="K74" s="192" t="n"/>
      <c r="L74" s="192" t="n"/>
      <c r="M74" s="192" t="n"/>
      <c r="N74" s="192" t="n"/>
      <c r="O74" s="192" t="n"/>
      <c r="P74" s="192" t="n"/>
      <c r="Q74" s="192" t="n"/>
      <c r="R74" s="192" t="n"/>
      <c r="S74" s="192" t="n"/>
      <c r="T74" s="192" t="n"/>
      <c r="U74" s="192" t="n"/>
      <c r="V74" s="192" t="n"/>
      <c r="W74" s="188" t="n"/>
    </row>
    <row r="75" ht="15.75" customHeight="1" thickBot="1">
      <c r="A75" s="184" t="n"/>
      <c r="B75" s="194" t="inlineStr">
        <is>
          <t>VEN-FOR-006I  VERSION:1 FECHA 2021-SEPT-14</t>
        </is>
      </c>
      <c r="C75" s="192" t="n"/>
      <c r="D75" s="192" t="n"/>
      <c r="E75" s="192" t="n"/>
      <c r="F75" s="192" t="n"/>
      <c r="G75" s="192" t="n"/>
      <c r="H75" s="192" t="n"/>
      <c r="I75" s="192" t="n"/>
      <c r="J75" s="192" t="n"/>
      <c r="K75" s="192" t="n"/>
      <c r="L75" s="192" t="n"/>
      <c r="M75" s="192" t="n"/>
      <c r="N75" s="192" t="n"/>
      <c r="O75" s="192" t="n"/>
      <c r="P75" s="192" t="n"/>
      <c r="Q75" s="192" t="n"/>
      <c r="R75" s="192" t="n"/>
      <c r="S75" s="192" t="n"/>
      <c r="T75" s="192" t="n"/>
      <c r="U75" s="192" t="n"/>
      <c r="V75" s="192" t="n"/>
      <c r="W75" s="192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88zOjX46YNX0AwvtAunRGQ==" formatRows="1" sort="1" spinCount="100000" hashValue="eNud5qT8rni4wkbiVAgaVxVqc+auJYvCOYfoF2MeP9kVfzxo6RhbnFTsl+FudUcWR5LRdZJkxCMPCRAXwUorrA=="/>
  <mergeCells count="47">
    <mergeCell ref="P26:Q26"/>
    <mergeCell ref="H3:K3"/>
    <mergeCell ref="P38:Q38"/>
    <mergeCell ref="N54:O54"/>
    <mergeCell ref="C2:G3"/>
    <mergeCell ref="B37:L38"/>
    <mergeCell ref="B10:L11"/>
    <mergeCell ref="N30:Q30"/>
    <mergeCell ref="L6:R6"/>
    <mergeCell ref="P31:Q31"/>
    <mergeCell ref="B44:L45"/>
    <mergeCell ref="B53:L54"/>
    <mergeCell ref="H5:K5"/>
    <mergeCell ref="A1:W1"/>
    <mergeCell ref="N21:O21"/>
    <mergeCell ref="C4:G8"/>
    <mergeCell ref="S2:W2"/>
    <mergeCell ref="P21:Q21"/>
    <mergeCell ref="H8:K8"/>
    <mergeCell ref="L2:R2"/>
    <mergeCell ref="N20:Q20"/>
    <mergeCell ref="B20:L21"/>
    <mergeCell ref="L7:R7"/>
    <mergeCell ref="S5:W8"/>
    <mergeCell ref="N25:Q25"/>
    <mergeCell ref="B30:L31"/>
    <mergeCell ref="H4:K4"/>
    <mergeCell ref="N37:Q37"/>
    <mergeCell ref="N53:Q53"/>
    <mergeCell ref="N38:O38"/>
    <mergeCell ref="L3:R3"/>
    <mergeCell ref="S3:W4"/>
    <mergeCell ref="H6:K6"/>
    <mergeCell ref="P28:Q28"/>
    <mergeCell ref="N31:O31"/>
    <mergeCell ref="B9:O9"/>
    <mergeCell ref="L5:R5"/>
    <mergeCell ref="A2:B8"/>
    <mergeCell ref="B61:L62"/>
    <mergeCell ref="L8:R8"/>
    <mergeCell ref="L4:R4"/>
    <mergeCell ref="H2:K2"/>
    <mergeCell ref="N44:Q44"/>
    <mergeCell ref="H7:K7"/>
    <mergeCell ref="N45:O45"/>
    <mergeCell ref="P45:Q45"/>
    <mergeCell ref="P54:Q54"/>
  </mergeCells>
  <conditionalFormatting sqref="C22">
    <cfRule type="cellIs" priority="32" operator="greaterThan" dxfId="0" stopIfTrue="1">
      <formula>$Q$22</formula>
    </cfRule>
    <cfRule type="cellIs" priority="31" operator="lessThan" dxfId="0" stopIfTrue="1">
      <formula>$O$22</formula>
    </cfRule>
  </conditionalFormatting>
  <conditionalFormatting sqref="C23">
    <cfRule type="cellIs" priority="29" operator="lessThan" dxfId="0" stopIfTrue="1">
      <formula>$O$23</formula>
    </cfRule>
    <cfRule type="cellIs" priority="30" operator="greaterThan" dxfId="0" stopIfTrue="1">
      <formula>$Q$23</formula>
    </cfRule>
  </conditionalFormatting>
  <conditionalFormatting sqref="C18:L18">
    <cfRule type="containsText" priority="22" operator="containsText" dxfId="2" stopIfTrue="1" text="ANORMAL">
      <formula>NOT(ISERROR(SEARCH("ANORMAL",C18)))</formula>
    </cfRule>
    <cfRule type="containsText" priority="23" operator="containsText" dxfId="3" stopIfTrue="1" text="N/D">
      <formula>NOT(ISERROR(SEARCH("N/D",C18)))</formula>
    </cfRule>
    <cfRule type="containsText" priority="24" operator="containsText" dxfId="0" stopIfTrue="1" text="PRECAUCIÓN">
      <formula>NOT(ISERROR(SEARCH("PRECAUCIÓN",C18)))</formula>
    </cfRule>
    <cfRule type="containsText" priority="25" operator="containsText" dxfId="1" stopIfTrue="1" text="NORMAL">
      <formula>NOT(ISERROR(SEARCH("NORMAL",C18)))</formula>
    </cfRule>
  </conditionalFormatting>
  <conditionalFormatting sqref="C26:L26">
    <cfRule type="cellIs" priority="8" operator="equal" dxfId="2" stopIfTrue="1">
      <formula>"POSITIVO"</formula>
    </cfRule>
  </conditionalFormatting>
  <conditionalFormatting sqref="C27:L27">
    <cfRule type="cellIs" priority="11" operator="greaterThanOrEqual" dxfId="2" stopIfTrue="1">
      <formula>$Q$27</formula>
    </cfRule>
  </conditionalFormatting>
  <conditionalFormatting sqref="C28:L28">
    <cfRule type="cellIs" priority="7" operator="equal" dxfId="2" stopIfTrue="1">
      <formula>"POSITIVO"</formula>
    </cfRule>
  </conditionalFormatting>
  <conditionalFormatting sqref="C32:L32">
    <cfRule type="cellIs" priority="53" operator="greaterThanOrEqual" dxfId="2" stopIfTrue="1">
      <formula>$Q$32</formula>
    </cfRule>
    <cfRule type="cellIs" priority="54" operator="between" dxfId="0" stopIfTrue="1">
      <formula>$O$32</formula>
      <formula>$Q$32</formula>
    </cfRule>
  </conditionalFormatting>
  <conditionalFormatting sqref="C33:L33">
    <cfRule type="cellIs" priority="3" operator="greaterThanOrEqual" dxfId="2" stopIfTrue="1">
      <formula>$Q$33</formula>
    </cfRule>
    <cfRule type="cellIs" priority="4" operator="between" dxfId="0" stopIfTrue="1">
      <formula>$O$33</formula>
      <formula>$Q$33</formula>
    </cfRule>
  </conditionalFormatting>
  <conditionalFormatting sqref="C34:L34">
    <cfRule type="cellIs" priority="5" operator="greaterThanOrEqual" dxfId="2" stopIfTrue="1">
      <formula>$Q$34</formula>
    </cfRule>
    <cfRule type="cellIs" priority="6" operator="between" dxfId="0" stopIfTrue="1">
      <formula>$O$34</formula>
      <formula>$Q$34</formula>
    </cfRule>
  </conditionalFormatting>
  <conditionalFormatting sqref="C35:L35">
    <cfRule type="cellIs" priority="2" operator="between" dxfId="0" stopIfTrue="1">
      <formula>$O$35</formula>
      <formula>$Q$35</formula>
    </cfRule>
    <cfRule type="cellIs" priority="1" operator="greaterThanOrEqual" dxfId="2" stopIfTrue="1">
      <formula>$Q$35</formula>
    </cfRule>
  </conditionalFormatting>
  <conditionalFormatting sqref="C39:L39 C40:C42">
    <cfRule type="cellIs" priority="40" operator="greaterThanOrEqual" dxfId="2" stopIfTrue="1">
      <formula>$Q$39</formula>
    </cfRule>
    <cfRule type="cellIs" priority="41" operator="between" dxfId="0" stopIfTrue="1">
      <formula>$O$39</formula>
      <formula>$Q$39</formula>
    </cfRule>
  </conditionalFormatting>
  <conditionalFormatting sqref="C46:L46">
    <cfRule type="cellIs" priority="12" operator="greaterThanOrEqual" dxfId="2" stopIfTrue="1">
      <formula>$Q$46</formula>
    </cfRule>
    <cfRule type="cellIs" priority="13" operator="between" dxfId="0" stopIfTrue="1">
      <formula>$O$46</formula>
      <formula>$Q$46</formula>
    </cfRule>
  </conditionalFormatting>
  <conditionalFormatting sqref="C47:L47">
    <cfRule type="cellIs" priority="49" operator="between" dxfId="0" stopIfTrue="1">
      <formula>$O$47</formula>
      <formula>$Q$47</formula>
    </cfRule>
    <cfRule type="cellIs" priority="48" operator="greaterThanOrEqual" dxfId="2" stopIfTrue="1">
      <formula>$Q$47</formula>
    </cfRule>
  </conditionalFormatting>
  <conditionalFormatting sqref="C48:L48">
    <cfRule type="cellIs" priority="50" operator="greaterThanOrEqual" dxfId="2" stopIfTrue="1">
      <formula>$Q$48</formula>
    </cfRule>
    <cfRule type="cellIs" priority="51" operator="between" dxfId="0" stopIfTrue="1">
      <formula>$O$48</formula>
      <formula>$Q$48</formula>
    </cfRule>
  </conditionalFormatting>
  <conditionalFormatting sqref="C49:L49">
    <cfRule type="cellIs" priority="46" operator="greaterThanOrEqual" dxfId="2" stopIfTrue="1">
      <formula>$Q$49</formula>
    </cfRule>
    <cfRule type="cellIs" priority="47" operator="between" dxfId="0" stopIfTrue="1">
      <formula>$O$49</formula>
      <formula>$Q$49</formula>
    </cfRule>
  </conditionalFormatting>
  <conditionalFormatting sqref="C50:L50">
    <cfRule type="cellIs" priority="44" operator="greaterThanOrEqual" dxfId="2" stopIfTrue="1">
      <formula>$Q$50</formula>
    </cfRule>
    <cfRule type="cellIs" priority="45" operator="between" dxfId="0" stopIfTrue="1">
      <formula>$O$50</formula>
      <formula>$Q$50</formula>
    </cfRule>
  </conditionalFormatting>
  <conditionalFormatting sqref="C51:L51">
    <cfRule type="cellIs" priority="42" operator="greaterThanOrEqual" dxfId="2" stopIfTrue="1">
      <formula>$Q$51</formula>
    </cfRule>
    <cfRule type="cellIs" priority="43" operator="between" dxfId="0" stopIfTrue="1">
      <formula>$O$51</formula>
      <formula>$Q$51</formula>
    </cfRule>
  </conditionalFormatting>
  <conditionalFormatting sqref="C55:L55">
    <cfRule type="cellIs" priority="37" operator="greaterThanOrEqual" dxfId="2" stopIfTrue="1">
      <formula>$Q$55</formula>
    </cfRule>
  </conditionalFormatting>
  <conditionalFormatting sqref="C56:L56">
    <cfRule type="cellIs" priority="36" operator="greaterThanOrEqual" dxfId="2" stopIfTrue="1">
      <formula>$Q$56</formula>
    </cfRule>
  </conditionalFormatting>
  <conditionalFormatting sqref="C57:L57">
    <cfRule type="cellIs" priority="35" operator="greaterThanOrEqual" dxfId="2" stopIfTrue="1">
      <formula>$Q$57</formula>
    </cfRule>
  </conditionalFormatting>
  <conditionalFormatting sqref="C58:L58">
    <cfRule type="cellIs" priority="33" operator="greaterThanOrEqual" dxfId="2" stopIfTrue="1">
      <formula>$Q$58</formula>
    </cfRule>
  </conditionalFormatting>
  <conditionalFormatting sqref="C59:L59">
    <cfRule type="cellIs" priority="34" operator="greaterThanOrEqual" dxfId="2" stopIfTrue="1">
      <formula>$Q$59</formula>
    </cfRule>
  </conditionalFormatting>
  <conditionalFormatting sqref="D40:L40">
    <cfRule type="cellIs" priority="38" operator="greaterThanOrEqual" dxfId="2" stopIfTrue="1">
      <formula>$Q$40</formula>
    </cfRule>
    <cfRule type="cellIs" priority="39" operator="between" dxfId="0" stopIfTrue="1">
      <formula>$O$40</formula>
      <formula>$Q$40</formula>
    </cfRule>
  </conditionalFormatting>
  <conditionalFormatting sqref="D41:L41">
    <cfRule type="cellIs" priority="16" operator="greaterThanOrEqual" dxfId="2" stopIfTrue="1">
      <formula>$Q$41</formula>
    </cfRule>
    <cfRule type="cellIs" priority="17" operator="between" dxfId="0" stopIfTrue="1">
      <formula>$O$41</formula>
      <formula>$Q$41</formula>
    </cfRule>
  </conditionalFormatting>
  <conditionalFormatting sqref="D42:L42">
    <cfRule type="cellIs" priority="14" operator="greaterThanOrEqual" dxfId="2" stopIfTrue="1">
      <formula>$Q$42</formula>
    </cfRule>
    <cfRule type="cellIs" priority="15" operator="between" dxfId="0" stopIfTrue="1">
      <formula>$O$42</formula>
      <formula>$Q$42</formula>
    </cfRule>
  </conditionalFormatting>
  <conditionalFormatting sqref="S3">
    <cfRule type="containsText" priority="18" operator="containsText" dxfId="3" stopIfTrue="1" text="SIN EVALUACIÓN">
      <formula>NOT(ISERROR(SEARCH("SIN EVALUACIÓN",S3)))</formula>
    </cfRule>
    <cfRule type="containsText" priority="21" operator="containsText" dxfId="2" stopIfTrue="1" text="PARÁMETROS ANORMALES">
      <formula>NOT(ISERROR(SEARCH("PARÁMETROS ANORMALES",S3)))</formula>
    </cfRule>
    <cfRule type="containsText" priority="20" operator="containsText" dxfId="1" stopIfTrue="1" text="PARÁMETROS NORMALES">
      <formula>NOT(ISERROR(SEARCH("PARÁMETROS NORMALES",S3)))</formula>
    </cfRule>
    <cfRule type="containsText" priority="19" operator="containsText" dxfId="0" stopIfTrue="1" text="PRECAUCIÓN">
      <formula>NOT(ISERROR(SEARCH("PRECAUCIÓN",S3)))</formula>
    </cfRule>
  </conditionalFormatting>
  <conditionalFormatting sqref="X21:AB21">
    <cfRule type="iconSet" priority="60">
      <iconSet iconSet="3Arrows">
        <cfvo type="percent" val="0"/>
        <cfvo type="percent" val="33"/>
        <cfvo type="percent" val="67"/>
      </iconSet>
    </cfRule>
  </conditionalFormatting>
  <conditionalFormatting sqref="X31:AB31">
    <cfRule type="iconSet" priority="59">
      <iconSet iconSet="3Arrows">
        <cfvo type="percent" val="0"/>
        <cfvo type="percent" val="33"/>
        <cfvo type="percent" val="67"/>
      </iconSet>
    </cfRule>
  </conditionalFormatting>
  <dataValidations count="4">
    <dataValidation sqref="S3" showDropDown="0" showInputMessage="1" showErrorMessage="1" allowBlank="1" type="list">
      <formula1>"PARÁMETROS NORMALES,PRECAUCIÓN,PARÁMETROS ANORMALES,SIN EVALUACIÓN"</formula1>
    </dataValidation>
    <dataValidation sqref="L2" showDropDown="0" showInputMessage="1" showErrorMessage="1" allowBlank="1" error="PARAMETROS FUERA DEL LIMITE CONDENATORIO_x000a_"/>
    <dataValidation sqref="C18:L18" showDropDown="0" showInputMessage="1" showErrorMessage="1" allowBlank="1" type="list">
      <formula1>"NORMAL,PRECAUCIÓN,ANORMAL,N/D"</formula1>
    </dataValidation>
    <dataValidation sqref="C26:L26 C28:L28" showDropDown="0" showInputMessage="1" showErrorMessage="1" allowBlank="1" type="list">
      <formula1>"NEGATIVO, POSITIVO"</formula1>
    </dataValidation>
  </dataValidations>
  <pageMargins left="0" right="0" top="0" bottom="0" header="0" footer="0"/>
  <pageSetup orientation="landscape" scale="42"/>
  <colBreaks count="1" manualBreakCount="1">
    <brk id="23" min="0" max="1048575" man="1"/>
  </colBreak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H75"/>
  <sheetViews>
    <sheetView showGridLines="0" view="pageBreakPreview" topLeftCell="A58" zoomScale="70" zoomScaleNormal="100" zoomScaleSheetLayoutView="70" workbookViewId="0">
      <selection activeCell="A90" sqref="A90"/>
    </sheetView>
  </sheetViews>
  <sheetFormatPr baseColWidth="10" defaultRowHeight="12"/>
  <cols>
    <col width="3.5703125" customWidth="1" style="140" min="1" max="1"/>
    <col width="54" customWidth="1" style="140" min="2" max="2"/>
    <col width="14.85546875" customWidth="1" style="140" min="3" max="12"/>
    <col width="2.140625" customWidth="1" style="140" min="13" max="13"/>
    <col width="4" customWidth="1" style="140" min="14" max="14"/>
    <col width="6.85546875" customWidth="1" style="140" min="15" max="15"/>
    <col width="4.140625" customWidth="1" style="140" min="16" max="16"/>
    <col width="6.7109375" customWidth="1" style="140" min="17" max="17"/>
    <col width="6.5703125" customWidth="1" style="140" min="18" max="18"/>
    <col width="22.42578125" customWidth="1" style="140" min="19" max="19"/>
    <col width="15.28515625" customWidth="1" style="140" min="20" max="23"/>
    <col width="11.42578125" customWidth="1" style="140" min="24" max="16384"/>
  </cols>
  <sheetData>
    <row r="1" ht="27.95" customHeight="1" thickBot="1">
      <c r="A1" s="424" t="inlineStr">
        <is>
          <t>REPORTE DE ANÁLISIS DE LUBRICANTE</t>
        </is>
      </c>
      <c r="B1" s="425" t="n"/>
      <c r="C1" s="425" t="n"/>
      <c r="D1" s="425" t="n"/>
      <c r="E1" s="425" t="n"/>
      <c r="F1" s="425" t="n"/>
      <c r="G1" s="425" t="n"/>
      <c r="H1" s="425" t="n"/>
      <c r="I1" s="425" t="n"/>
      <c r="J1" s="425" t="n"/>
      <c r="K1" s="425" t="n"/>
      <c r="L1" s="425" t="n"/>
      <c r="M1" s="425" t="n"/>
      <c r="N1" s="425" t="n"/>
      <c r="O1" s="425" t="n"/>
      <c r="P1" s="425" t="n"/>
      <c r="Q1" s="425" t="n"/>
      <c r="R1" s="425" t="n"/>
      <c r="S1" s="425" t="n"/>
      <c r="T1" s="425" t="n"/>
      <c r="U1" s="425" t="n"/>
      <c r="V1" s="425" t="n"/>
      <c r="W1" s="426" t="n"/>
    </row>
    <row r="2" ht="24" customHeight="1" thickBot="1">
      <c r="A2" s="427" t="n"/>
      <c r="B2" s="428" t="n"/>
      <c r="C2" s="429" t="inlineStr">
        <is>
          <t>NOMBRE DEL CLIENTE:</t>
        </is>
      </c>
      <c r="D2" s="430" t="n"/>
      <c r="E2" s="430" t="n"/>
      <c r="F2" s="430" t="n"/>
      <c r="G2" s="428" t="n"/>
      <c r="H2" s="311" t="inlineStr">
        <is>
          <t>Compartimento:</t>
        </is>
      </c>
      <c r="I2" s="431" t="n"/>
      <c r="J2" s="431" t="n"/>
      <c r="K2" s="432" t="n"/>
      <c r="L2" s="328">
        <f>Datos!A271</f>
        <v/>
      </c>
      <c r="M2" s="431" t="n"/>
      <c r="N2" s="431" t="n"/>
      <c r="O2" s="431" t="n"/>
      <c r="P2" s="431" t="n"/>
      <c r="Q2" s="431" t="n"/>
      <c r="R2" s="432" t="n"/>
      <c r="S2" s="433" t="inlineStr">
        <is>
          <t>Diagnóstico de la última muestra:</t>
        </is>
      </c>
      <c r="T2" s="425" t="n"/>
      <c r="U2" s="425" t="n"/>
      <c r="V2" s="425" t="n"/>
      <c r="W2" s="426" t="n"/>
      <c r="X2" s="141" t="n"/>
      <c r="Y2" s="141" t="n"/>
      <c r="Z2" s="141" t="n"/>
      <c r="AA2" s="141" t="inlineStr">
        <is>
          <t>MANDO FINAL IZQUIERDO</t>
        </is>
      </c>
      <c r="AB2" s="141" t="n"/>
    </row>
    <row r="3" ht="24" customHeight="1">
      <c r="A3" s="151" t="n"/>
      <c r="B3" s="434" t="n"/>
      <c r="C3" s="435" t="n"/>
      <c r="D3" s="141" t="n"/>
      <c r="E3" s="141" t="n"/>
      <c r="F3" s="141" t="n"/>
      <c r="G3" s="434" t="n"/>
      <c r="H3" s="317" t="inlineStr">
        <is>
          <t>Equipo:</t>
        </is>
      </c>
      <c r="I3" s="436" t="n"/>
      <c r="J3" s="436" t="n"/>
      <c r="K3" s="437" t="n"/>
      <c r="L3" s="210">
        <f>MOTOR!AA3</f>
        <v/>
      </c>
      <c r="M3" s="399" t="n"/>
      <c r="N3" s="399" t="n"/>
      <c r="O3" s="399" t="n"/>
      <c r="P3" s="399" t="n"/>
      <c r="Q3" s="399" t="n"/>
      <c r="R3" s="400" t="n"/>
      <c r="S3" s="438" t="inlineStr">
        <is>
          <t>SIN EVALUACIÓN</t>
        </is>
      </c>
      <c r="T3" s="430" t="n"/>
      <c r="U3" s="430" t="n"/>
      <c r="V3" s="430" t="n"/>
      <c r="W3" s="439" t="n"/>
      <c r="X3" s="141" t="n"/>
      <c r="Y3" s="141" t="n"/>
      <c r="Z3" s="141" t="n"/>
      <c r="AA3" s="141" t="inlineStr">
        <is>
          <t>UG 00</t>
        </is>
      </c>
      <c r="AB3" s="141" t="n"/>
      <c r="AH3" t="inlineStr">
        <is>
          <t>SIN EVALUACION</t>
        </is>
      </c>
    </row>
    <row r="4" ht="24" customHeight="1" thickBot="1">
      <c r="A4" s="151" t="n"/>
      <c r="B4" s="434" t="n"/>
      <c r="C4" s="404" t="inlineStr">
        <is>
          <t>JUSTICE COMPANY</t>
        </is>
      </c>
      <c r="G4" s="397" t="n"/>
      <c r="H4" s="317" t="inlineStr">
        <is>
          <t>Marca:</t>
        </is>
      </c>
      <c r="I4" s="436" t="n"/>
      <c r="J4" s="436" t="n"/>
      <c r="K4" s="437" t="n"/>
      <c r="L4" s="210">
        <f>MOTOR!AA4</f>
        <v/>
      </c>
      <c r="M4" s="399" t="n"/>
      <c r="N4" s="399" t="n"/>
      <c r="O4" s="399" t="n"/>
      <c r="P4" s="399" t="n"/>
      <c r="Q4" s="399" t="n"/>
      <c r="R4" s="400" t="n"/>
      <c r="S4" s="440" t="n"/>
      <c r="T4" s="187" t="n"/>
      <c r="U4" s="187" t="n"/>
      <c r="V4" s="187" t="n"/>
      <c r="W4" s="441" t="n"/>
      <c r="X4" s="141" t="n"/>
      <c r="Y4" s="141" t="n"/>
      <c r="Z4" s="141" t="n"/>
      <c r="AA4" s="141" t="inlineStr">
        <is>
          <t>MARCA EQUIPO</t>
        </is>
      </c>
      <c r="AB4" s="141" t="n"/>
    </row>
    <row r="5" ht="24" customHeight="1">
      <c r="A5" s="151" t="n"/>
      <c r="B5" s="434" t="n"/>
      <c r="C5" s="398" t="n"/>
      <c r="G5" s="397" t="n"/>
      <c r="H5" s="317" t="inlineStr">
        <is>
          <t>Serie:</t>
        </is>
      </c>
      <c r="I5" s="436" t="n"/>
      <c r="J5" s="436" t="n"/>
      <c r="K5" s="437" t="n"/>
      <c r="L5" s="210">
        <f>MOTOR!AA5</f>
        <v/>
      </c>
      <c r="M5" s="399" t="n"/>
      <c r="N5" s="399" t="n"/>
      <c r="O5" s="399" t="n"/>
      <c r="P5" s="399" t="n"/>
      <c r="Q5" s="399" t="n"/>
      <c r="R5" s="400" t="n"/>
      <c r="S5" s="442" t="n"/>
      <c r="T5" s="430" t="n"/>
      <c r="U5" s="430" t="n"/>
      <c r="V5" s="430" t="n"/>
      <c r="W5" s="439" t="n"/>
      <c r="X5" s="141" t="n"/>
      <c r="Y5" s="141" t="n"/>
      <c r="Z5" s="141" t="n"/>
      <c r="AA5" s="141" t="inlineStr">
        <is>
          <t>SERIE</t>
        </is>
      </c>
      <c r="AB5" s="141" t="n"/>
    </row>
    <row r="6" ht="24" customHeight="1">
      <c r="A6" s="151" t="n"/>
      <c r="B6" s="434" t="n"/>
      <c r="C6" s="398" t="n"/>
      <c r="G6" s="397" t="n"/>
      <c r="H6" s="317" t="inlineStr">
        <is>
          <t>Modelo:</t>
        </is>
      </c>
      <c r="I6" s="436" t="n"/>
      <c r="J6" s="436" t="n"/>
      <c r="K6" s="437" t="n"/>
      <c r="L6" s="210">
        <f>MOTOR!AA6</f>
        <v/>
      </c>
      <c r="M6" s="399" t="n"/>
      <c r="N6" s="399" t="n"/>
      <c r="O6" s="399" t="n"/>
      <c r="P6" s="399" t="n"/>
      <c r="Q6" s="399" t="n"/>
      <c r="R6" s="400" t="n"/>
      <c r="S6" s="151" t="n"/>
      <c r="T6" s="141" t="n"/>
      <c r="U6" s="141" t="n"/>
      <c r="V6" s="141" t="n"/>
      <c r="W6" s="152" t="n"/>
      <c r="X6" s="141" t="n"/>
      <c r="Y6" s="141" t="n"/>
      <c r="Z6" s="141" t="n"/>
      <c r="AA6" s="141" t="inlineStr">
        <is>
          <t>MODELO</t>
        </is>
      </c>
      <c r="AB6" s="141" t="n"/>
    </row>
    <row r="7" ht="24" customHeight="1">
      <c r="A7" s="151" t="n"/>
      <c r="B7" s="434" t="n"/>
      <c r="C7" s="398" t="n"/>
      <c r="G7" s="397" t="n"/>
      <c r="H7" s="317" t="inlineStr">
        <is>
          <t>Lubricante:</t>
        </is>
      </c>
      <c r="I7" s="436" t="n"/>
      <c r="J7" s="436" t="n"/>
      <c r="K7" s="437" t="n"/>
      <c r="L7" s="330" t="n"/>
      <c r="M7" s="436" t="n"/>
      <c r="N7" s="436" t="n"/>
      <c r="O7" s="436" t="n"/>
      <c r="P7" s="436" t="n"/>
      <c r="Q7" s="436" t="n"/>
      <c r="R7" s="437" t="n"/>
      <c r="S7" s="151" t="n"/>
      <c r="T7" s="141" t="n"/>
      <c r="U7" s="141" t="n"/>
      <c r="V7" s="141" t="n"/>
      <c r="W7" s="152" t="n"/>
      <c r="X7" s="141" t="n"/>
      <c r="Y7" s="141" t="n"/>
      <c r="Z7" s="141" t="n"/>
      <c r="AA7" s="141" t="inlineStr">
        <is>
          <t>15W40</t>
        </is>
      </c>
      <c r="AB7" s="141" t="n"/>
    </row>
    <row r="8" ht="24" customHeight="1" thickBot="1">
      <c r="A8" s="440" t="n"/>
      <c r="B8" s="443" t="n"/>
      <c r="C8" s="409" t="n"/>
      <c r="D8" s="73" t="n"/>
      <c r="E8" s="73" t="n"/>
      <c r="F8" s="73" t="n"/>
      <c r="G8" s="408" t="n"/>
      <c r="H8" s="283" t="inlineStr">
        <is>
          <t xml:space="preserve">Marca del Lubricante: </t>
        </is>
      </c>
      <c r="I8" s="444" t="n"/>
      <c r="J8" s="444" t="n"/>
      <c r="K8" s="445" t="n"/>
      <c r="L8" s="326" t="n"/>
      <c r="M8" s="444" t="n"/>
      <c r="N8" s="444" t="n"/>
      <c r="O8" s="444" t="n"/>
      <c r="P8" s="444" t="n"/>
      <c r="Q8" s="444" t="n"/>
      <c r="R8" s="445" t="n"/>
      <c r="S8" s="440" t="n"/>
      <c r="T8" s="187" t="n"/>
      <c r="U8" s="187" t="n"/>
      <c r="V8" s="187" t="n"/>
      <c r="W8" s="441" t="n"/>
      <c r="X8" s="141" t="n"/>
      <c r="Y8" s="141" t="n"/>
      <c r="Z8" s="141" t="n"/>
      <c r="AA8" s="141" t="inlineStr">
        <is>
          <t>GULF</t>
        </is>
      </c>
      <c r="AB8" s="141" t="n"/>
    </row>
    <row r="9" ht="15.75" customHeight="1">
      <c r="A9" s="142" t="n"/>
      <c r="B9" s="286" t="n"/>
      <c r="C9" s="141" t="n"/>
      <c r="D9" s="141" t="n"/>
      <c r="E9" s="141" t="n"/>
      <c r="F9" s="141" t="n"/>
      <c r="G9" s="141" t="n"/>
      <c r="H9" s="141" t="n"/>
      <c r="I9" s="141" t="n"/>
      <c r="J9" s="141" t="n"/>
      <c r="K9" s="141" t="n"/>
      <c r="L9" s="141" t="n"/>
      <c r="M9" s="141" t="n"/>
      <c r="N9" s="141" t="n"/>
      <c r="O9" s="141" t="n"/>
      <c r="P9" s="286" t="n"/>
      <c r="Q9" s="144" t="n"/>
      <c r="R9" s="145" t="n"/>
      <c r="S9" s="146" t="n"/>
      <c r="T9" s="147" t="n"/>
      <c r="U9" s="147" t="n"/>
      <c r="V9" s="147" t="n"/>
      <c r="W9" s="148" t="n"/>
      <c r="X9" s="141" t="n"/>
      <c r="Y9" s="141" t="n"/>
      <c r="Z9" s="141" t="n"/>
      <c r="AA9" s="141" t="n"/>
      <c r="AB9" s="141" t="n"/>
    </row>
    <row r="10" ht="15.75" customHeight="1">
      <c r="A10" s="142" t="n"/>
      <c r="B10" s="275" t="inlineStr">
        <is>
          <t>INFORMACIÓN DE LA MUESTRA</t>
        </is>
      </c>
      <c r="C10" s="446" t="n"/>
      <c r="D10" s="446" t="n"/>
      <c r="E10" s="446" t="n"/>
      <c r="F10" s="446" t="n"/>
      <c r="G10" s="446" t="n"/>
      <c r="H10" s="446" t="n"/>
      <c r="I10" s="446" t="n"/>
      <c r="J10" s="446" t="n"/>
      <c r="K10" s="446" t="n"/>
      <c r="L10" s="447" t="n"/>
      <c r="M10" s="144" t="n"/>
      <c r="N10" s="144" t="n"/>
      <c r="O10" s="144" t="n"/>
      <c r="P10" s="144" t="n"/>
      <c r="Q10" s="144" t="n"/>
      <c r="R10" s="145" t="n"/>
      <c r="S10" s="146" t="n"/>
      <c r="T10" s="147" t="n"/>
      <c r="U10" s="147" t="n"/>
      <c r="V10" s="147" t="n"/>
      <c r="W10" s="148" t="n"/>
      <c r="X10" s="141" t="n"/>
      <c r="Y10" s="141" t="n"/>
      <c r="Z10" s="141" t="n"/>
      <c r="AA10" s="141" t="n"/>
      <c r="AB10" s="141" t="n"/>
    </row>
    <row r="11" ht="15" customHeight="1">
      <c r="A11" s="142" t="n"/>
      <c r="B11" s="448" t="n"/>
      <c r="C11" s="449" t="n"/>
      <c r="D11" s="449" t="n"/>
      <c r="E11" s="449" t="n"/>
      <c r="F11" s="449" t="n"/>
      <c r="G11" s="449" t="n"/>
      <c r="H11" s="449" t="n"/>
      <c r="I11" s="449" t="n"/>
      <c r="J11" s="449" t="n"/>
      <c r="K11" s="449" t="n"/>
      <c r="L11" s="450" t="n"/>
      <c r="M11" s="149" t="n"/>
      <c r="N11" s="149" t="n"/>
      <c r="O11" s="149" t="n"/>
      <c r="P11" s="149" t="n"/>
      <c r="Q11" s="149" t="n"/>
      <c r="R11" s="150" t="n"/>
      <c r="S11" s="151" t="n"/>
      <c r="T11" s="141" t="n"/>
      <c r="U11" s="141" t="n"/>
      <c r="V11" s="141" t="n"/>
      <c r="W11" s="152" t="n"/>
      <c r="X11" s="141" t="n"/>
      <c r="Y11" s="141" t="n"/>
      <c r="Z11" s="141" t="n"/>
      <c r="AA11" s="141" t="n"/>
      <c r="AB11" s="141" t="n"/>
    </row>
    <row r="12" ht="18" customHeight="1">
      <c r="A12" s="142" t="n"/>
      <c r="B12" s="153" t="inlineStr">
        <is>
          <t>Numeración de Muestra</t>
        </is>
      </c>
      <c r="C12" s="154" t="inlineStr">
        <is>
          <t>MUESTRA-001</t>
        </is>
      </c>
      <c r="D12" s="154" t="n"/>
      <c r="E12" s="154" t="n"/>
      <c r="F12" s="154" t="n"/>
      <c r="G12" s="154" t="n"/>
      <c r="H12" s="154" t="n"/>
      <c r="I12" s="154" t="n"/>
      <c r="J12" s="154" t="n"/>
      <c r="K12" s="154" t="n"/>
      <c r="L12" s="154" t="n"/>
      <c r="R12" s="155" t="n"/>
      <c r="S12" s="151" t="n"/>
      <c r="T12" s="141" t="n"/>
      <c r="U12" s="141" t="n"/>
      <c r="V12" s="141" t="n"/>
      <c r="W12" s="152" t="n"/>
      <c r="X12" s="141" t="n"/>
      <c r="Y12" s="141" t="n"/>
      <c r="Z12" s="141" t="n"/>
      <c r="AA12" s="141" t="n"/>
      <c r="AB12" s="141" t="n"/>
    </row>
    <row r="13" ht="18" customHeight="1">
      <c r="A13" s="142" t="n"/>
      <c r="B13" s="153" t="inlineStr">
        <is>
          <t>Fecha de Muestreo</t>
        </is>
      </c>
      <c r="C13" s="451" t="inlineStr">
        <is>
          <t>2026-03-28</t>
        </is>
      </c>
      <c r="D13" s="451" t="n"/>
      <c r="E13" s="451" t="n"/>
      <c r="F13" s="451" t="n"/>
      <c r="G13" s="451" t="n"/>
      <c r="H13" s="451" t="n"/>
      <c r="I13" s="451" t="n"/>
      <c r="J13" s="451" t="n"/>
      <c r="K13" s="451" t="n"/>
      <c r="L13" s="451" t="n"/>
      <c r="R13" s="155" t="n"/>
      <c r="S13" s="151" t="n"/>
      <c r="T13" s="141" t="n"/>
      <c r="U13" s="141" t="n"/>
      <c r="V13" s="141" t="n"/>
      <c r="W13" s="152" t="n"/>
      <c r="X13" s="141" t="n"/>
      <c r="Y13" s="141" t="n"/>
      <c r="Z13" s="141" t="n"/>
      <c r="AA13" s="141" t="n"/>
      <c r="AB13" s="141" t="n"/>
    </row>
    <row r="14" ht="15.75" customHeight="1">
      <c r="A14" s="142" t="n"/>
      <c r="B14" s="153" t="inlineStr">
        <is>
          <t>Fecha de Ingreso</t>
        </is>
      </c>
      <c r="C14" s="451" t="inlineStr">
        <is>
          <t>2026-03-29</t>
        </is>
      </c>
      <c r="D14" s="451" t="n"/>
      <c r="E14" s="451" t="n"/>
      <c r="F14" s="451" t="n"/>
      <c r="G14" s="451" t="n"/>
      <c r="H14" s="451" t="n"/>
      <c r="I14" s="451" t="n"/>
      <c r="J14" s="451" t="n"/>
      <c r="K14" s="451" t="n"/>
      <c r="L14" s="451" t="n"/>
      <c r="R14" s="155" t="n"/>
      <c r="S14" s="151" t="n"/>
      <c r="T14" s="141" t="n"/>
      <c r="U14" s="141" t="n"/>
      <c r="V14" s="141" t="n"/>
      <c r="W14" s="152" t="n"/>
      <c r="X14" s="141" t="n"/>
      <c r="Y14" s="141" t="n"/>
      <c r="Z14" s="141" t="n"/>
      <c r="AA14" s="141" t="n"/>
      <c r="AB14" s="141" t="n"/>
    </row>
    <row r="15" ht="18" customHeight="1">
      <c r="A15" s="142" t="n"/>
      <c r="B15" s="153" t="inlineStr">
        <is>
          <t>Fecha de Informe</t>
        </is>
      </c>
      <c r="C15" s="451" t="inlineStr">
        <is>
          <t>2026-03-30</t>
        </is>
      </c>
      <c r="D15" s="451" t="n"/>
      <c r="E15" s="451" t="n"/>
      <c r="F15" s="451" t="n"/>
      <c r="G15" s="451" t="n"/>
      <c r="H15" s="451" t="n"/>
      <c r="I15" s="451" t="n"/>
      <c r="J15" s="451" t="n"/>
      <c r="K15" s="451" t="n"/>
      <c r="L15" s="451" t="n"/>
      <c r="R15" s="155" t="n"/>
      <c r="S15" s="151" t="n"/>
      <c r="T15" s="141" t="n"/>
      <c r="U15" s="141" t="n"/>
      <c r="V15" s="141" t="n"/>
      <c r="W15" s="152" t="n"/>
      <c r="X15" s="141" t="n"/>
      <c r="Y15" s="141" t="n"/>
      <c r="Z15" s="141" t="n"/>
      <c r="AA15" s="141" t="n"/>
      <c r="AB15" s="141" t="n"/>
    </row>
    <row r="16" ht="18" customHeight="1">
      <c r="A16" s="142" t="n"/>
      <c r="B16" s="153" t="inlineStr">
        <is>
          <t>Equipo Hrs/ Km</t>
        </is>
      </c>
      <c r="C16" s="154" t="n">
        <v>12000</v>
      </c>
      <c r="D16" s="154" t="n"/>
      <c r="E16" s="154" t="n"/>
      <c r="F16" s="154" t="n"/>
      <c r="G16" s="154" t="n"/>
      <c r="H16" s="154" t="n"/>
      <c r="I16" s="154" t="n"/>
      <c r="J16" s="154" t="n"/>
      <c r="K16" s="154" t="n"/>
      <c r="L16" s="154" t="n"/>
      <c r="R16" s="155" t="n"/>
      <c r="S16" s="151" t="n"/>
      <c r="T16" s="141" t="n"/>
      <c r="U16" s="141" t="n"/>
      <c r="V16" s="141" t="n"/>
      <c r="W16" s="152" t="n"/>
      <c r="X16" s="141" t="n"/>
      <c r="Y16" s="141" t="n"/>
      <c r="Z16" s="141" t="n"/>
      <c r="AA16" s="141" t="n"/>
      <c r="AB16" s="141" t="n"/>
    </row>
    <row r="17" ht="18" customHeight="1">
      <c r="A17" s="142" t="n"/>
      <c r="B17" s="153" t="inlineStr">
        <is>
          <t>Aceite Hrs/ Km</t>
        </is>
      </c>
      <c r="C17" s="154" t="n">
        <v>320</v>
      </c>
      <c r="D17" s="154" t="n"/>
      <c r="E17" s="154" t="n"/>
      <c r="F17" s="154" t="n"/>
      <c r="G17" s="154" t="n"/>
      <c r="H17" s="154" t="n"/>
      <c r="I17" s="154" t="n"/>
      <c r="J17" s="154" t="n"/>
      <c r="K17" s="154" t="n"/>
      <c r="L17" s="154" t="n"/>
      <c r="R17" s="155" t="n"/>
      <c r="S17" s="151" t="n"/>
      <c r="T17" s="141" t="n"/>
      <c r="U17" s="141" t="n"/>
      <c r="V17" s="141" t="n"/>
      <c r="W17" s="152" t="n"/>
      <c r="X17" s="141" t="n"/>
      <c r="Y17" s="141" t="n"/>
      <c r="Z17" s="141" t="n"/>
      <c r="AA17" s="141" t="n"/>
      <c r="AB17" s="141" t="n"/>
    </row>
    <row r="18" ht="18" customHeight="1">
      <c r="A18" s="142" t="n"/>
      <c r="B18" s="153" t="inlineStr">
        <is>
          <t>Condición</t>
        </is>
      </c>
      <c r="C18" s="157" t="inlineStr">
        <is>
          <t>NORMAL</t>
        </is>
      </c>
      <c r="D18" s="157" t="n"/>
      <c r="E18" s="157" t="n"/>
      <c r="F18" s="157" t="n"/>
      <c r="G18" s="157" t="n"/>
      <c r="H18" s="157" t="n"/>
      <c r="I18" s="157" t="n"/>
      <c r="J18" s="157" t="n"/>
      <c r="K18" s="157" t="n"/>
      <c r="L18" s="157" t="n"/>
      <c r="R18" s="155" t="n"/>
      <c r="S18" s="151" t="n"/>
      <c r="T18" s="141" t="n"/>
      <c r="U18" s="141" t="n"/>
      <c r="V18" s="141" t="n"/>
      <c r="W18" s="152" t="n"/>
      <c r="X18" s="141" t="n"/>
      <c r="Y18" s="141" t="n"/>
      <c r="Z18" s="141" t="n"/>
      <c r="AA18" s="141" t="n"/>
      <c r="AB18" s="141" t="n"/>
    </row>
    <row r="19" ht="18" customHeight="1">
      <c r="A19" s="142" t="n"/>
      <c r="B19" s="158" t="n"/>
      <c r="C19" s="158" t="n"/>
      <c r="D19" s="158" t="n"/>
      <c r="E19" s="158" t="n"/>
      <c r="F19" s="158" t="n"/>
      <c r="G19" s="158" t="n"/>
      <c r="H19" s="158" t="n"/>
      <c r="I19" s="158" t="n"/>
      <c r="J19" s="158" t="n"/>
      <c r="K19" s="158" t="n"/>
      <c r="L19" s="158" t="n"/>
      <c r="R19" s="155" t="n"/>
      <c r="S19" s="151" t="n"/>
      <c r="T19" s="141" t="n"/>
      <c r="U19" s="141" t="n"/>
      <c r="V19" s="141" t="n"/>
      <c r="W19" s="152" t="n"/>
      <c r="X19" s="141" t="n"/>
      <c r="Y19" s="141" t="n"/>
      <c r="Z19" s="141" t="n"/>
      <c r="AA19" s="141" t="n"/>
      <c r="AB19" s="141" t="n"/>
    </row>
    <row r="20" ht="18" customHeight="1">
      <c r="A20" s="142" t="n"/>
      <c r="B20" s="275" t="inlineStr">
        <is>
          <t>ESTADO DEL LUBRICANTE</t>
        </is>
      </c>
      <c r="C20" s="446" t="n"/>
      <c r="D20" s="446" t="n"/>
      <c r="E20" s="446" t="n"/>
      <c r="F20" s="446" t="n"/>
      <c r="G20" s="446" t="n"/>
      <c r="H20" s="446" t="n"/>
      <c r="I20" s="446" t="n"/>
      <c r="J20" s="446" t="n"/>
      <c r="K20" s="446" t="n"/>
      <c r="L20" s="447" t="n"/>
      <c r="N20" s="276" t="inlineStr">
        <is>
          <t>* Rangos Generales</t>
        </is>
      </c>
      <c r="O20" s="436" t="n"/>
      <c r="P20" s="436" t="n"/>
      <c r="Q20" s="437" t="n"/>
      <c r="R20" s="155" t="n"/>
      <c r="S20" s="151" t="n"/>
      <c r="T20" s="141" t="n"/>
      <c r="U20" s="141" t="n"/>
      <c r="V20" s="141" t="n"/>
      <c r="W20" s="152" t="n"/>
      <c r="X20" s="141" t="n"/>
      <c r="Y20" s="141" t="n"/>
      <c r="Z20" s="141" t="n"/>
      <c r="AA20" s="141" t="n"/>
      <c r="AB20" s="141" t="n"/>
    </row>
    <row r="21" ht="18" customHeight="1">
      <c r="A21" s="142" t="n"/>
      <c r="B21" s="448" t="n"/>
      <c r="C21" s="449" t="n"/>
      <c r="D21" s="449" t="n"/>
      <c r="E21" s="449" t="n"/>
      <c r="F21" s="449" t="n"/>
      <c r="G21" s="449" t="n"/>
      <c r="H21" s="449" t="n"/>
      <c r="I21" s="449" t="n"/>
      <c r="J21" s="449" t="n"/>
      <c r="K21" s="449" t="n"/>
      <c r="L21" s="450" t="n"/>
      <c r="M21" s="149" t="n"/>
      <c r="N21" s="276" t="inlineStr">
        <is>
          <t>Precaución</t>
        </is>
      </c>
      <c r="O21" s="437" t="n"/>
      <c r="P21" s="276" t="inlineStr">
        <is>
          <t>Anormal</t>
        </is>
      </c>
      <c r="Q21" s="437" t="n"/>
      <c r="R21" s="155" t="n"/>
      <c r="S21" s="151" t="n"/>
      <c r="T21" s="141" t="n"/>
      <c r="U21" s="141" t="n"/>
      <c r="V21" s="141" t="n"/>
      <c r="W21" s="152" t="n"/>
      <c r="X21" s="286" t="n"/>
      <c r="Y21" s="286" t="n"/>
      <c r="Z21" s="286" t="n"/>
      <c r="AA21" s="286" t="n"/>
      <c r="AB21" s="286" t="n"/>
    </row>
    <row r="22" hidden="1" ht="15.75" customHeight="1">
      <c r="A22" s="142" t="n"/>
      <c r="B22" s="153" t="inlineStr">
        <is>
          <t>Viscosidad a 100ºC, cSt</t>
        </is>
      </c>
      <c r="C22" s="452" t="n">
        <v>0</v>
      </c>
      <c r="D22" s="452" t="n"/>
      <c r="E22" s="452" t="n"/>
      <c r="F22" s="452" t="n"/>
      <c r="G22" s="452" t="n"/>
      <c r="H22" s="452" t="n"/>
      <c r="I22" s="452" t="n"/>
      <c r="J22" s="452" t="n"/>
      <c r="K22" s="452" t="n"/>
      <c r="L22" s="452" t="n"/>
      <c r="M22" s="149" t="n"/>
      <c r="N22" s="160" t="n"/>
      <c r="O22" s="453" t="n"/>
      <c r="P22" s="162" t="n"/>
      <c r="Q22" s="453" t="n"/>
      <c r="R22" s="155" t="n"/>
      <c r="S22" s="151" t="n"/>
      <c r="T22" s="141" t="n"/>
      <c r="U22" s="141" t="n"/>
      <c r="V22" s="141" t="n"/>
      <c r="W22" s="152" t="n"/>
      <c r="X22" s="141" t="n"/>
      <c r="Y22" s="141" t="n"/>
      <c r="Z22" s="141" t="n"/>
      <c r="AA22" s="141" t="n"/>
      <c r="AB22" s="141" t="n"/>
    </row>
    <row r="23" ht="15.75" customHeight="1">
      <c r="A23" s="142" t="n"/>
      <c r="B23" s="153" t="inlineStr">
        <is>
          <t>Viscosidad a 40ºC, cSt</t>
        </is>
      </c>
      <c r="C23" s="452" t="n">
        <v>0</v>
      </c>
      <c r="D23" s="452" t="n"/>
      <c r="E23" s="452" t="n"/>
      <c r="F23" s="452" t="n"/>
      <c r="G23" s="452" t="n"/>
      <c r="H23" s="452" t="n"/>
      <c r="I23" s="452" t="n"/>
      <c r="J23" s="452" t="n"/>
      <c r="K23" s="452" t="n"/>
      <c r="L23" s="452" t="n"/>
      <c r="M23" s="149" t="n"/>
      <c r="N23" s="160" t="n"/>
      <c r="O23" s="453" t="n"/>
      <c r="P23" s="162" t="n"/>
      <c r="Q23" s="453" t="n"/>
      <c r="R23" s="155" t="n"/>
      <c r="S23" s="151" t="n"/>
      <c r="T23" s="141" t="n"/>
      <c r="U23" s="141" t="n"/>
      <c r="V23" s="141" t="n"/>
      <c r="W23" s="152" t="n"/>
      <c r="X23" s="141" t="n"/>
      <c r="Y23" s="141" t="n"/>
      <c r="Z23" s="141" t="n"/>
      <c r="AA23" s="141" t="n"/>
      <c r="AB23" s="141" t="n"/>
    </row>
    <row r="24" hidden="1" ht="15.75" customHeight="1">
      <c r="A24" s="142" t="n"/>
      <c r="B24" s="153" t="inlineStr">
        <is>
          <t>Indice de Viscosidad</t>
        </is>
      </c>
      <c r="C24" s="163" t="n">
        <v>0</v>
      </c>
      <c r="D24" s="163" t="n"/>
      <c r="E24" s="163" t="n"/>
      <c r="F24" s="163" t="n"/>
      <c r="G24" s="163" t="n"/>
      <c r="H24" s="163" t="n"/>
      <c r="I24" s="163" t="n"/>
      <c r="J24" s="163" t="n"/>
      <c r="K24" s="163" t="n"/>
      <c r="L24" s="163" t="n"/>
      <c r="M24" s="149" t="n"/>
      <c r="N24" s="164" t="n"/>
      <c r="O24" s="454" t="n"/>
      <c r="P24" s="164" t="n"/>
      <c r="Q24" s="454" t="n"/>
      <c r="R24" s="155" t="n"/>
      <c r="S24" s="151" t="n"/>
      <c r="T24" s="141" t="n"/>
      <c r="U24" s="141" t="n"/>
      <c r="V24" s="141" t="n"/>
      <c r="W24" s="152" t="n"/>
      <c r="X24" s="141" t="n"/>
      <c r="Y24" s="141" t="n"/>
      <c r="Z24" s="141" t="n"/>
      <c r="AA24" s="141" t="n"/>
      <c r="AB24" s="141" t="n"/>
    </row>
    <row r="25" hidden="1" ht="15.75" customHeight="1">
      <c r="A25" s="142" t="n"/>
      <c r="B25" s="153" t="inlineStr">
        <is>
          <t>T.B.N. mgKOH/gr</t>
        </is>
      </c>
      <c r="C25" s="455" t="n">
        <v>0</v>
      </c>
      <c r="D25" s="455" t="n"/>
      <c r="E25" s="455" t="n"/>
      <c r="F25" s="455" t="n"/>
      <c r="G25" s="455" t="n"/>
      <c r="H25" s="455" t="n"/>
      <c r="I25" s="455" t="n"/>
      <c r="J25" s="455" t="n"/>
      <c r="K25" s="455" t="n"/>
      <c r="L25" s="455" t="n"/>
      <c r="M25" s="167" t="n"/>
      <c r="N25" s="276" t="inlineStr">
        <is>
          <t>[50% TBN -1]</t>
        </is>
      </c>
      <c r="O25" s="436" t="n"/>
      <c r="P25" s="436" t="n"/>
      <c r="Q25" s="437" t="n"/>
      <c r="R25" s="155" t="n"/>
      <c r="S25" s="151" t="n"/>
      <c r="T25" s="141" t="n"/>
      <c r="U25" s="141" t="n"/>
      <c r="V25" s="141" t="n"/>
      <c r="W25" s="152" t="n"/>
    </row>
    <row r="26" ht="18" customHeight="1">
      <c r="A26" s="142" t="n"/>
      <c r="B26" s="153" t="inlineStr">
        <is>
          <t>Humedad</t>
        </is>
      </c>
      <c r="C26" s="154" t="inlineStr">
        <is>
          <t>NEGATIVO</t>
        </is>
      </c>
      <c r="D26" s="154" t="n"/>
      <c r="E26" s="154" t="n"/>
      <c r="F26" s="154" t="n"/>
      <c r="G26" s="154" t="n"/>
      <c r="H26" s="154" t="n"/>
      <c r="I26" s="154" t="n"/>
      <c r="J26" s="154" t="n"/>
      <c r="K26" s="154" t="n"/>
      <c r="L26" s="154" t="n"/>
      <c r="M26" s="149" t="n"/>
      <c r="N26" s="164" t="n"/>
      <c r="O26" s="454" t="n"/>
      <c r="P26" s="290" t="inlineStr">
        <is>
          <t>POSITIVO</t>
        </is>
      </c>
      <c r="Q26" s="437" t="n"/>
      <c r="R26" s="155" t="n"/>
      <c r="S26" s="151" t="n"/>
      <c r="T26" s="141" t="n"/>
      <c r="U26" s="141" t="n"/>
      <c r="V26" s="141" t="n"/>
      <c r="W26" s="152" t="n"/>
      <c r="X26" s="141" t="n"/>
      <c r="Y26" s="141" t="n"/>
      <c r="Z26" s="141" t="n"/>
      <c r="AA26" s="141" t="n"/>
    </row>
    <row r="27" hidden="1" ht="15.75" customHeight="1">
      <c r="A27" s="142" t="n"/>
      <c r="B27" s="153" t="inlineStr">
        <is>
          <t>Glycol,  Abs/cm</t>
        </is>
      </c>
      <c r="C27" s="154" t="n">
        <v>0</v>
      </c>
      <c r="D27" s="154" t="n"/>
      <c r="E27" s="154" t="n"/>
      <c r="F27" s="154" t="n"/>
      <c r="G27" s="154" t="n"/>
      <c r="H27" s="154" t="n"/>
      <c r="I27" s="154" t="n"/>
      <c r="J27" s="154" t="n"/>
      <c r="K27" s="154" t="n"/>
      <c r="L27" s="154" t="n"/>
      <c r="M27" s="149" t="n"/>
      <c r="N27" s="168" t="n"/>
      <c r="O27" s="169" t="n"/>
      <c r="P27" s="168" t="n"/>
      <c r="Q27" s="170" t="n"/>
      <c r="R27" s="155" t="n"/>
      <c r="S27" s="151" t="n"/>
      <c r="T27" s="141" t="n"/>
      <c r="U27" s="141" t="n"/>
      <c r="V27" s="141" t="n"/>
      <c r="W27" s="152" t="n"/>
      <c r="X27" s="141" t="n"/>
      <c r="Y27" s="141" t="n"/>
      <c r="Z27" s="141" t="n"/>
    </row>
    <row r="28" hidden="1" ht="15.75" customFormat="1" customHeight="1" s="173">
      <c r="A28" s="171" t="n"/>
      <c r="B28" s="153" t="inlineStr">
        <is>
          <t>Combustible</t>
        </is>
      </c>
      <c r="C28" s="154" t="inlineStr">
        <is>
          <t>NEGATIVO</t>
        </is>
      </c>
      <c r="D28" s="154" t="n"/>
      <c r="E28" s="154" t="n"/>
      <c r="F28" s="154" t="n"/>
      <c r="G28" s="154" t="n"/>
      <c r="H28" s="154" t="n"/>
      <c r="I28" s="154" t="n"/>
      <c r="J28" s="154" t="n"/>
      <c r="K28" s="154" t="n"/>
      <c r="L28" s="154" t="n"/>
      <c r="M28" s="167" t="n"/>
      <c r="N28" s="164" t="n"/>
      <c r="O28" s="454" t="n"/>
      <c r="P28" s="290" t="inlineStr">
        <is>
          <t>POSITIVO</t>
        </is>
      </c>
      <c r="Q28" s="437" t="n"/>
      <c r="R28" s="172" t="n"/>
      <c r="S28" s="151" t="n"/>
      <c r="T28" s="141" t="n"/>
      <c r="U28" s="141" t="n"/>
      <c r="V28" s="141" t="n"/>
      <c r="W28" s="152" t="n"/>
      <c r="X28" s="141" t="n"/>
      <c r="Y28" s="141" t="n"/>
      <c r="Z28" s="141" t="n"/>
      <c r="AA28" s="141" t="n"/>
    </row>
    <row r="29" ht="18" customHeight="1">
      <c r="A29" s="142" t="n"/>
      <c r="B29" s="158" t="n"/>
      <c r="C29" s="158" t="n"/>
      <c r="D29" s="158" t="n"/>
      <c r="E29" s="158" t="n"/>
      <c r="F29" s="158" t="n"/>
      <c r="G29" s="158" t="n"/>
      <c r="H29" s="158" t="n"/>
      <c r="I29" s="158" t="n"/>
      <c r="J29" s="158" t="n"/>
      <c r="K29" s="158" t="n"/>
      <c r="L29" s="158" t="n"/>
      <c r="N29" s="174" t="n"/>
      <c r="O29" s="175" t="n"/>
      <c r="P29" s="175" t="n"/>
      <c r="Q29" s="175" t="n"/>
      <c r="R29" s="155" t="n"/>
      <c r="S29" s="151" t="n"/>
      <c r="T29" s="141" t="n"/>
      <c r="U29" s="141" t="n"/>
      <c r="V29" s="141" t="n"/>
      <c r="W29" s="152" t="n"/>
    </row>
    <row r="30" ht="18" customHeight="1">
      <c r="A30" s="142" t="n"/>
      <c r="B30" s="275" t="inlineStr">
        <is>
          <t>DEGRADACIÓN QUÍMICA</t>
        </is>
      </c>
      <c r="C30" s="446" t="n"/>
      <c r="D30" s="446" t="n"/>
      <c r="E30" s="446" t="n"/>
      <c r="F30" s="446" t="n"/>
      <c r="G30" s="446" t="n"/>
      <c r="H30" s="446" t="n"/>
      <c r="I30" s="446" t="n"/>
      <c r="J30" s="446" t="n"/>
      <c r="K30" s="446" t="n"/>
      <c r="L30" s="447" t="n"/>
      <c r="N30" s="276" t="inlineStr">
        <is>
          <t>* Rangos Generales</t>
        </is>
      </c>
      <c r="O30" s="436" t="n"/>
      <c r="P30" s="436" t="n"/>
      <c r="Q30" s="437" t="n"/>
      <c r="R30" s="155" t="n"/>
      <c r="S30" s="151" t="n"/>
      <c r="T30" s="141" t="n"/>
      <c r="U30" s="141" t="n"/>
      <c r="V30" s="141" t="n"/>
      <c r="W30" s="152" t="n"/>
    </row>
    <row r="31" ht="18" customHeight="1">
      <c r="A31" s="142" t="n"/>
      <c r="B31" s="448" t="n"/>
      <c r="C31" s="449" t="n"/>
      <c r="D31" s="449" t="n"/>
      <c r="E31" s="449" t="n"/>
      <c r="F31" s="449" t="n"/>
      <c r="G31" s="449" t="n"/>
      <c r="H31" s="449" t="n"/>
      <c r="I31" s="449" t="n"/>
      <c r="J31" s="449" t="n"/>
      <c r="K31" s="449" t="n"/>
      <c r="L31" s="450" t="n"/>
      <c r="M31" s="149" t="n"/>
      <c r="N31" s="276" t="inlineStr">
        <is>
          <t>Precaución</t>
        </is>
      </c>
      <c r="O31" s="437" t="n"/>
      <c r="P31" s="276" t="inlineStr">
        <is>
          <t>Anormal</t>
        </is>
      </c>
      <c r="Q31" s="437" t="n"/>
      <c r="R31" s="155" t="n"/>
      <c r="S31" s="151" t="n"/>
      <c r="T31" s="141" t="n"/>
      <c r="U31" s="141" t="n"/>
      <c r="V31" s="141" t="n"/>
      <c r="W31" s="152" t="n"/>
      <c r="X31" s="286" t="n"/>
      <c r="Y31" s="286" t="n"/>
      <c r="Z31" s="286" t="n"/>
      <c r="AA31" s="286" t="n"/>
      <c r="AB31" s="286" t="n"/>
    </row>
    <row r="32" ht="18" customHeight="1">
      <c r="A32" s="142" t="n"/>
      <c r="B32" s="153" t="inlineStr">
        <is>
          <t>Oxidación, Abs/cm</t>
        </is>
      </c>
      <c r="C32" s="456" t="n">
        <v>0</v>
      </c>
      <c r="D32" s="456" t="n"/>
      <c r="E32" s="456" t="n"/>
      <c r="F32" s="456" t="n"/>
      <c r="G32" s="456" t="n"/>
      <c r="H32" s="456" t="n"/>
      <c r="I32" s="456" t="n"/>
      <c r="J32" s="456" t="n"/>
      <c r="K32" s="456" t="n"/>
      <c r="L32" s="456" t="n"/>
      <c r="M32" s="149" t="n"/>
      <c r="N32" s="164" t="n"/>
      <c r="O32" s="177" t="n"/>
      <c r="P32" s="164" t="n"/>
      <c r="Q32" s="177" t="n"/>
      <c r="R32" s="155" t="n"/>
      <c r="S32" s="151" t="n"/>
      <c r="T32" s="141" t="n"/>
      <c r="U32" s="141" t="n"/>
      <c r="V32" s="141" t="n"/>
      <c r="W32" s="152" t="n"/>
      <c r="X32" s="141" t="n"/>
      <c r="Y32" s="141" t="n"/>
      <c r="Z32" s="141" t="n"/>
    </row>
    <row r="33" hidden="1" ht="15.75" customHeight="1">
      <c r="A33" s="142" t="n"/>
      <c r="B33" s="153" t="inlineStr">
        <is>
          <t>Nitración, Abs/cm</t>
        </is>
      </c>
      <c r="C33" s="423" t="n">
        <v>0</v>
      </c>
      <c r="D33" s="423" t="n"/>
      <c r="E33" s="423" t="n"/>
      <c r="F33" s="423" t="n"/>
      <c r="G33" s="423" t="n"/>
      <c r="H33" s="423" t="n"/>
      <c r="I33" s="423" t="n"/>
      <c r="J33" s="423" t="n"/>
      <c r="K33" s="423" t="n"/>
      <c r="L33" s="423" t="n"/>
      <c r="M33" s="149" t="n"/>
      <c r="N33" s="164" t="n"/>
      <c r="O33" s="177" t="n"/>
      <c r="P33" s="164" t="n"/>
      <c r="Q33" s="177" t="n"/>
      <c r="R33" s="155" t="n"/>
      <c r="S33" s="151" t="n"/>
      <c r="T33" s="141" t="n"/>
      <c r="U33" s="141" t="n"/>
      <c r="V33" s="141" t="n"/>
      <c r="W33" s="152" t="n"/>
    </row>
    <row r="34" hidden="1" ht="15.75" customHeight="1">
      <c r="A34" s="142" t="n"/>
      <c r="B34" s="153" t="inlineStr">
        <is>
          <t>Sulfatación, Abs/cm</t>
        </is>
      </c>
      <c r="C34" s="423" t="n">
        <v>0</v>
      </c>
      <c r="D34" s="423" t="n"/>
      <c r="E34" s="423" t="n"/>
      <c r="F34" s="423" t="n"/>
      <c r="G34" s="423" t="n"/>
      <c r="H34" s="423" t="n"/>
      <c r="I34" s="423" t="n"/>
      <c r="J34" s="423" t="n"/>
      <c r="K34" s="423" t="n"/>
      <c r="L34" s="423" t="n"/>
      <c r="M34" s="149" t="n"/>
      <c r="N34" s="164" t="n"/>
      <c r="O34" s="177" t="n"/>
      <c r="P34" s="164" t="n"/>
      <c r="Q34" s="177" t="n"/>
      <c r="R34" s="155" t="n"/>
      <c r="S34" s="151" t="n"/>
      <c r="T34" s="141" t="n"/>
      <c r="U34" s="141" t="n"/>
      <c r="V34" s="141" t="n"/>
      <c r="W34" s="152" t="n"/>
    </row>
    <row r="35" hidden="1" ht="15.75" customHeight="1">
      <c r="A35" s="142" t="n"/>
      <c r="B35" s="153" t="inlineStr">
        <is>
          <t>Hollín, wt%</t>
        </is>
      </c>
      <c r="C35" s="423" t="n">
        <v>0</v>
      </c>
      <c r="D35" s="423" t="n"/>
      <c r="E35" s="423" t="n"/>
      <c r="F35" s="423" t="n"/>
      <c r="G35" s="423" t="n"/>
      <c r="H35" s="423" t="n"/>
      <c r="I35" s="423" t="n"/>
      <c r="J35" s="423" t="n"/>
      <c r="K35" s="423" t="n"/>
      <c r="L35" s="423" t="n"/>
      <c r="M35" s="149" t="n"/>
      <c r="N35" s="164" t="n"/>
      <c r="O35" s="178" t="n"/>
      <c r="P35" s="164" t="n"/>
      <c r="Q35" s="177" t="n"/>
      <c r="R35" s="155" t="n"/>
      <c r="S35" s="151" t="n"/>
      <c r="T35" s="141" t="n"/>
      <c r="U35" s="141" t="n"/>
      <c r="V35" s="141" t="n"/>
      <c r="W35" s="152" t="n"/>
    </row>
    <row r="36" ht="18" customHeight="1">
      <c r="A36" s="142" t="n"/>
      <c r="B36" s="158" t="n"/>
      <c r="C36" s="158" t="n"/>
      <c r="D36" s="158" t="n"/>
      <c r="E36" s="158" t="n"/>
      <c r="F36" s="158" t="n"/>
      <c r="G36" s="158" t="n"/>
      <c r="H36" s="158" t="n"/>
      <c r="I36" s="158" t="n"/>
      <c r="J36" s="158" t="n"/>
      <c r="K36" s="158" t="n"/>
      <c r="L36" s="158" t="n"/>
      <c r="N36" s="174" t="n"/>
      <c r="O36" s="175" t="n"/>
      <c r="P36" s="175" t="n"/>
      <c r="Q36" s="175" t="n"/>
      <c r="R36" s="155" t="n"/>
      <c r="S36" s="151" t="n"/>
      <c r="T36" s="141" t="n"/>
      <c r="U36" s="141" t="n"/>
      <c r="V36" s="141" t="n"/>
      <c r="W36" s="152" t="n"/>
      <c r="X36" s="141" t="n"/>
      <c r="Y36" s="141" t="n"/>
      <c r="Z36" s="141" t="n"/>
      <c r="AA36" s="141" t="n"/>
    </row>
    <row r="37" ht="18" customHeight="1">
      <c r="A37" s="142" t="n"/>
      <c r="B37" s="275" t="inlineStr">
        <is>
          <t>CONTAMINACIÓN DEL LUBRICANTE - PPM (mg/kg)</t>
        </is>
      </c>
      <c r="C37" s="446" t="n"/>
      <c r="D37" s="446" t="n"/>
      <c r="E37" s="446" t="n"/>
      <c r="F37" s="446" t="n"/>
      <c r="G37" s="446" t="n"/>
      <c r="H37" s="446" t="n"/>
      <c r="I37" s="446" t="n"/>
      <c r="J37" s="446" t="n"/>
      <c r="K37" s="446" t="n"/>
      <c r="L37" s="447" t="n"/>
      <c r="N37" s="276" t="inlineStr">
        <is>
          <t>* Rangos Generales</t>
        </is>
      </c>
      <c r="O37" s="436" t="n"/>
      <c r="P37" s="436" t="n"/>
      <c r="Q37" s="437" t="n"/>
      <c r="R37" s="155" t="n"/>
      <c r="S37" s="151" t="n"/>
      <c r="T37" s="141" t="n"/>
      <c r="U37" s="141" t="n"/>
      <c r="V37" s="141" t="n"/>
      <c r="W37" s="152" t="n"/>
      <c r="X37" s="141" t="n"/>
      <c r="Y37" s="141" t="n"/>
      <c r="Z37" s="141" t="n"/>
      <c r="AA37" s="141" t="n"/>
    </row>
    <row r="38" ht="18" customHeight="1">
      <c r="A38" s="142" t="n"/>
      <c r="B38" s="448" t="n"/>
      <c r="C38" s="449" t="n"/>
      <c r="D38" s="449" t="n"/>
      <c r="E38" s="449" t="n"/>
      <c r="F38" s="449" t="n"/>
      <c r="G38" s="449" t="n"/>
      <c r="H38" s="449" t="n"/>
      <c r="I38" s="449" t="n"/>
      <c r="J38" s="449" t="n"/>
      <c r="K38" s="449" t="n"/>
      <c r="L38" s="450" t="n"/>
      <c r="M38" s="149" t="n"/>
      <c r="N38" s="276" t="inlineStr">
        <is>
          <t>Precaución</t>
        </is>
      </c>
      <c r="O38" s="437" t="n"/>
      <c r="P38" s="276" t="inlineStr">
        <is>
          <t>Anormal</t>
        </is>
      </c>
      <c r="Q38" s="437" t="n"/>
      <c r="R38" s="179" t="n"/>
      <c r="S38" s="151" t="n"/>
      <c r="T38" s="141" t="n"/>
      <c r="U38" s="141" t="n"/>
      <c r="V38" s="141" t="n"/>
      <c r="W38" s="152" t="n"/>
      <c r="X38" s="141" t="n"/>
      <c r="Y38" s="141" t="n"/>
      <c r="Z38" s="141" t="n"/>
      <c r="AA38" s="141" t="n"/>
    </row>
    <row r="39" ht="18" customHeight="1">
      <c r="A39" s="142" t="n"/>
      <c r="B39" s="153" t="inlineStr">
        <is>
          <t>Si (Silicio)</t>
        </is>
      </c>
      <c r="C39" s="154" t="n">
        <v>0</v>
      </c>
      <c r="D39" s="154" t="n"/>
      <c r="E39" s="154" t="n"/>
      <c r="F39" s="154" t="n"/>
      <c r="G39" s="154" t="n"/>
      <c r="H39" s="154" t="n"/>
      <c r="I39" s="154" t="n"/>
      <c r="J39" s="154" t="n"/>
      <c r="K39" s="154" t="n"/>
      <c r="L39" s="154" t="n"/>
      <c r="M39" s="149" t="n"/>
      <c r="N39" s="164" t="n"/>
      <c r="O39" s="177" t="n"/>
      <c r="P39" s="164" t="n"/>
      <c r="Q39" s="177" t="n"/>
      <c r="R39" s="155" t="n"/>
      <c r="S39" s="151" t="n"/>
      <c r="T39" s="141" t="n"/>
      <c r="U39" s="141" t="n"/>
      <c r="V39" s="141" t="n"/>
      <c r="W39" s="152" t="n"/>
      <c r="X39" s="141" t="n"/>
      <c r="Y39" s="141" t="n"/>
      <c r="Z39" s="141" t="n"/>
      <c r="AA39" s="141" t="n"/>
    </row>
    <row r="40" ht="18" customHeight="1">
      <c r="A40" s="142" t="n"/>
      <c r="B40" s="153" t="inlineStr">
        <is>
          <t>Na (Sodio)</t>
        </is>
      </c>
      <c r="C40" s="154" t="n">
        <v>0</v>
      </c>
      <c r="D40" s="154" t="n"/>
      <c r="E40" s="154" t="n"/>
      <c r="F40" s="154" t="n"/>
      <c r="G40" s="154" t="n"/>
      <c r="H40" s="154" t="n"/>
      <c r="I40" s="154" t="n"/>
      <c r="J40" s="154" t="n"/>
      <c r="K40" s="154" t="n"/>
      <c r="L40" s="154" t="n"/>
      <c r="M40" s="149" t="n"/>
      <c r="N40" s="164" t="n"/>
      <c r="O40" s="177" t="n"/>
      <c r="P40" s="164" t="n"/>
      <c r="Q40" s="177" t="n"/>
      <c r="R40" s="155" t="n"/>
      <c r="S40" s="151" t="n"/>
      <c r="T40" s="141" t="n"/>
      <c r="U40" s="141" t="n"/>
      <c r="V40" s="141" t="n"/>
      <c r="W40" s="152" t="n"/>
      <c r="X40" s="141" t="n"/>
      <c r="Y40" s="141" t="n"/>
      <c r="Z40" s="141" t="n"/>
      <c r="AA40" s="141" t="n"/>
    </row>
    <row r="41" ht="18" customHeight="1">
      <c r="A41" s="142" t="n"/>
      <c r="B41" s="153" t="inlineStr">
        <is>
          <t>Vanadio (V)</t>
        </is>
      </c>
      <c r="C41" s="154" t="n">
        <v>0</v>
      </c>
      <c r="D41" s="154" t="n"/>
      <c r="E41" s="154" t="n"/>
      <c r="F41" s="154" t="n"/>
      <c r="G41" s="154" t="n"/>
      <c r="H41" s="154" t="n"/>
      <c r="I41" s="154" t="n"/>
      <c r="J41" s="154" t="n"/>
      <c r="K41" s="154" t="n"/>
      <c r="L41" s="154" t="n"/>
      <c r="M41" s="149" t="n"/>
      <c r="N41" s="164" t="n"/>
      <c r="O41" s="177" t="n"/>
      <c r="P41" s="164" t="n"/>
      <c r="Q41" s="177" t="n"/>
      <c r="R41" s="155" t="n"/>
      <c r="S41" s="151" t="n"/>
      <c r="T41" s="141" t="n"/>
      <c r="U41" s="141" t="n"/>
      <c r="V41" s="141" t="n"/>
      <c r="W41" s="152" t="n"/>
      <c r="X41" s="141" t="n"/>
      <c r="Y41" s="141" t="n"/>
      <c r="Z41" s="141" t="n"/>
      <c r="AA41" s="141" t="n"/>
    </row>
    <row r="42" ht="18" customFormat="1" customHeight="1" s="173">
      <c r="A42" s="171" t="n"/>
      <c r="B42" s="153" t="inlineStr">
        <is>
          <t>Ni (Niquel)</t>
        </is>
      </c>
      <c r="C42" s="154" t="n">
        <v>0</v>
      </c>
      <c r="D42" s="154" t="n"/>
      <c r="E42" s="154" t="n"/>
      <c r="F42" s="154" t="n"/>
      <c r="G42" s="154" t="n"/>
      <c r="H42" s="154" t="n"/>
      <c r="I42" s="154" t="n"/>
      <c r="J42" s="154" t="n"/>
      <c r="K42" s="154" t="n"/>
      <c r="L42" s="154" t="n"/>
      <c r="M42" s="140" t="n"/>
      <c r="N42" s="164" t="n"/>
      <c r="O42" s="178" t="n"/>
      <c r="P42" s="164" t="n"/>
      <c r="Q42" s="178" t="n"/>
      <c r="R42" s="172" t="n"/>
      <c r="S42" s="151" t="n"/>
      <c r="T42" s="141" t="n"/>
      <c r="U42" s="141" t="n"/>
      <c r="V42" s="141" t="n"/>
      <c r="W42" s="152" t="n"/>
      <c r="X42" s="141" t="n"/>
      <c r="Y42" s="141" t="n"/>
      <c r="Z42" s="141" t="n"/>
      <c r="AA42" s="141" t="n"/>
    </row>
    <row r="43" ht="18" customFormat="1" customHeight="1" s="173">
      <c r="A43" s="171" t="n"/>
      <c r="B43" s="158" t="n"/>
      <c r="C43" s="158" t="n"/>
      <c r="D43" s="158" t="n"/>
      <c r="E43" s="158" t="n"/>
      <c r="F43" s="158" t="n"/>
      <c r="G43" s="158" t="n"/>
      <c r="H43" s="158" t="n"/>
      <c r="I43" s="158" t="n"/>
      <c r="J43" s="158" t="n"/>
      <c r="K43" s="158" t="n"/>
      <c r="L43" s="158" t="n"/>
      <c r="M43" s="141" t="n"/>
      <c r="N43" s="180" t="n"/>
      <c r="O43" s="180" t="n"/>
      <c r="P43" s="180" t="n"/>
      <c r="Q43" s="180" t="n"/>
      <c r="R43" s="172" t="n"/>
      <c r="S43" s="151" t="n"/>
      <c r="T43" s="141" t="n"/>
      <c r="U43" s="141" t="n"/>
      <c r="V43" s="141" t="n"/>
      <c r="W43" s="152" t="n"/>
      <c r="X43" s="141" t="n"/>
      <c r="Y43" s="141" t="n"/>
      <c r="Z43" s="141" t="n"/>
      <c r="AA43" s="141" t="n"/>
    </row>
    <row r="44" ht="18" customHeight="1">
      <c r="A44" s="142" t="n"/>
      <c r="B44" s="275" t="inlineStr">
        <is>
          <t>DESGATE DEL EQUIPO  - PPM (mg/kg)</t>
        </is>
      </c>
      <c r="C44" s="446" t="n"/>
      <c r="D44" s="446" t="n"/>
      <c r="E44" s="446" t="n"/>
      <c r="F44" s="446" t="n"/>
      <c r="G44" s="446" t="n"/>
      <c r="H44" s="446" t="n"/>
      <c r="I44" s="446" t="n"/>
      <c r="J44" s="446" t="n"/>
      <c r="K44" s="446" t="n"/>
      <c r="L44" s="447" t="n"/>
      <c r="N44" s="276" t="inlineStr">
        <is>
          <t>* Rangos Generales</t>
        </is>
      </c>
      <c r="O44" s="436" t="n"/>
      <c r="P44" s="436" t="n"/>
      <c r="Q44" s="437" t="n"/>
      <c r="R44" s="155" t="n"/>
      <c r="S44" s="151" t="n"/>
      <c r="T44" s="141" t="n"/>
      <c r="U44" s="141" t="n"/>
      <c r="V44" s="141" t="n"/>
      <c r="W44" s="152" t="n"/>
      <c r="X44" s="141" t="n"/>
      <c r="Y44" s="141" t="n"/>
      <c r="Z44" s="141" t="n"/>
      <c r="AA44" s="141" t="n"/>
    </row>
    <row r="45" ht="18" customHeight="1">
      <c r="A45" s="142" t="n"/>
      <c r="B45" s="448" t="n"/>
      <c r="C45" s="449" t="n"/>
      <c r="D45" s="449" t="n"/>
      <c r="E45" s="449" t="n"/>
      <c r="F45" s="449" t="n"/>
      <c r="G45" s="449" t="n"/>
      <c r="H45" s="449" t="n"/>
      <c r="I45" s="449" t="n"/>
      <c r="J45" s="449" t="n"/>
      <c r="K45" s="449" t="n"/>
      <c r="L45" s="450" t="n"/>
      <c r="M45" s="149" t="n"/>
      <c r="N45" s="276" t="inlineStr">
        <is>
          <t>Precaución</t>
        </is>
      </c>
      <c r="O45" s="437" t="n"/>
      <c r="P45" s="276" t="inlineStr">
        <is>
          <t>Anormal</t>
        </is>
      </c>
      <c r="Q45" s="437" t="n"/>
      <c r="R45" s="181" t="n"/>
      <c r="S45" s="151" t="n"/>
      <c r="T45" s="141" t="n"/>
      <c r="U45" s="141" t="n"/>
      <c r="V45" s="141" t="n"/>
      <c r="W45" s="152" t="n"/>
      <c r="X45" s="141" t="n"/>
      <c r="Y45" s="141" t="n"/>
      <c r="Z45" s="141" t="n"/>
      <c r="AA45" s="141" t="n"/>
    </row>
    <row r="46" ht="18" customHeight="1">
      <c r="A46" s="142" t="n"/>
      <c r="B46" s="153" t="inlineStr">
        <is>
          <t>Fe (Hierro)</t>
        </is>
      </c>
      <c r="C46" s="154" t="n">
        <v>0</v>
      </c>
      <c r="D46" s="154" t="n"/>
      <c r="E46" s="154" t="n"/>
      <c r="F46" s="154" t="n"/>
      <c r="G46" s="154" t="n"/>
      <c r="H46" s="154" t="n"/>
      <c r="I46" s="154" t="n"/>
      <c r="J46" s="154" t="n"/>
      <c r="K46" s="154" t="n"/>
      <c r="L46" s="154" t="n"/>
      <c r="M46" s="149" t="n"/>
      <c r="N46" s="164" t="n"/>
      <c r="O46" s="177" t="n"/>
      <c r="P46" s="164" t="n"/>
      <c r="Q46" s="177" t="n"/>
      <c r="R46" s="155" t="n"/>
      <c r="S46" s="151" t="n"/>
      <c r="T46" s="141" t="n"/>
      <c r="U46" s="141" t="n"/>
      <c r="V46" s="141" t="n"/>
      <c r="W46" s="152" t="n"/>
      <c r="X46" s="141" t="n"/>
      <c r="Y46" s="141" t="n"/>
      <c r="Z46" s="141" t="n"/>
      <c r="AA46" s="141" t="n"/>
    </row>
    <row r="47" ht="18" customHeight="1">
      <c r="A47" s="142" t="n"/>
      <c r="B47" s="153" t="inlineStr">
        <is>
          <t>Cr (Cromo)</t>
        </is>
      </c>
      <c r="C47" s="154" t="n">
        <v>0</v>
      </c>
      <c r="D47" s="154" t="n"/>
      <c r="E47" s="154" t="n"/>
      <c r="F47" s="154" t="n"/>
      <c r="G47" s="154" t="n"/>
      <c r="H47" s="154" t="n"/>
      <c r="I47" s="154" t="n"/>
      <c r="J47" s="154" t="n"/>
      <c r="K47" s="154" t="n"/>
      <c r="L47" s="154" t="n"/>
      <c r="M47" s="149" t="n"/>
      <c r="N47" s="164" t="n"/>
      <c r="O47" s="177" t="n"/>
      <c r="P47" s="164" t="n"/>
      <c r="Q47" s="177" t="n"/>
      <c r="R47" s="155" t="n"/>
      <c r="S47" s="151" t="n"/>
      <c r="T47" s="141" t="n"/>
      <c r="U47" s="141" t="n"/>
      <c r="V47" s="141" t="n"/>
      <c r="W47" s="152" t="n"/>
      <c r="X47" s="141" t="n"/>
      <c r="Y47" s="141" t="n"/>
      <c r="Z47" s="141" t="n"/>
      <c r="AA47" s="141" t="n"/>
    </row>
    <row r="48" ht="18" customHeight="1">
      <c r="A48" s="142" t="n"/>
      <c r="B48" s="153" t="inlineStr">
        <is>
          <t>Al (Aluminio)</t>
        </is>
      </c>
      <c r="C48" s="154" t="n">
        <v>0</v>
      </c>
      <c r="D48" s="154" t="n"/>
      <c r="E48" s="154" t="n"/>
      <c r="F48" s="154" t="n"/>
      <c r="G48" s="154" t="n"/>
      <c r="H48" s="154" t="n"/>
      <c r="I48" s="154" t="n"/>
      <c r="J48" s="154" t="n"/>
      <c r="K48" s="154" t="n"/>
      <c r="L48" s="154" t="n"/>
      <c r="M48" s="149" t="n"/>
      <c r="N48" s="164" t="n"/>
      <c r="O48" s="177" t="n"/>
      <c r="P48" s="164" t="n"/>
      <c r="Q48" s="177" t="n"/>
      <c r="R48" s="155" t="n"/>
      <c r="S48" s="151" t="n"/>
      <c r="T48" s="141" t="n"/>
      <c r="U48" s="141" t="n"/>
      <c r="V48" s="141" t="n"/>
      <c r="W48" s="152" t="n"/>
      <c r="X48" s="141" t="n"/>
      <c r="Y48" s="141" t="n"/>
      <c r="Z48" s="141" t="n"/>
      <c r="AA48" s="141" t="n"/>
    </row>
    <row r="49" ht="18" customHeight="1">
      <c r="A49" s="142" t="n"/>
      <c r="B49" s="153" t="inlineStr">
        <is>
          <t>Cu (Cobre)</t>
        </is>
      </c>
      <c r="C49" s="154" t="n">
        <v>0</v>
      </c>
      <c r="D49" s="154" t="n"/>
      <c r="E49" s="154" t="n"/>
      <c r="F49" s="154" t="n"/>
      <c r="G49" s="154" t="n"/>
      <c r="H49" s="154" t="n"/>
      <c r="I49" s="154" t="n"/>
      <c r="J49" s="154" t="n"/>
      <c r="K49" s="154" t="n"/>
      <c r="L49" s="154" t="n"/>
      <c r="M49" s="167" t="n"/>
      <c r="N49" s="164" t="n"/>
      <c r="O49" s="177" t="n"/>
      <c r="P49" s="164" t="n"/>
      <c r="Q49" s="177" t="n"/>
      <c r="R49" s="155" t="n"/>
      <c r="S49" s="151" t="n"/>
      <c r="T49" s="141" t="n"/>
      <c r="U49" s="141" t="n"/>
      <c r="V49" s="141" t="n"/>
      <c r="W49" s="152" t="n"/>
      <c r="X49" s="141" t="n"/>
      <c r="Y49" s="141" t="n"/>
      <c r="Z49" s="141" t="n"/>
      <c r="AA49" s="141" t="n"/>
    </row>
    <row r="50" ht="18" customHeight="1">
      <c r="A50" s="142" t="n"/>
      <c r="B50" s="153" t="inlineStr">
        <is>
          <t>Pb (Plomo)</t>
        </is>
      </c>
      <c r="C50" s="154" t="n">
        <v>0</v>
      </c>
      <c r="D50" s="154" t="n"/>
      <c r="E50" s="154" t="n"/>
      <c r="F50" s="154" t="n"/>
      <c r="G50" s="154" t="n"/>
      <c r="H50" s="154" t="n"/>
      <c r="I50" s="154" t="n"/>
      <c r="J50" s="154" t="n"/>
      <c r="K50" s="154" t="n"/>
      <c r="L50" s="154" t="n"/>
      <c r="M50" s="149" t="n"/>
      <c r="N50" s="164" t="n"/>
      <c r="O50" s="177" t="n"/>
      <c r="P50" s="164" t="n"/>
      <c r="Q50" s="177" t="n"/>
      <c r="R50" s="155" t="n"/>
      <c r="S50" s="151" t="n"/>
      <c r="T50" s="141" t="n"/>
      <c r="U50" s="141" t="n"/>
      <c r="V50" s="141" t="n"/>
      <c r="W50" s="152" t="n"/>
      <c r="X50" s="141" t="n"/>
      <c r="Y50" s="141" t="n"/>
      <c r="Z50" s="141" t="n"/>
      <c r="AA50" s="141" t="n"/>
    </row>
    <row r="51" ht="18" customFormat="1" customHeight="1" s="173">
      <c r="A51" s="171" t="n"/>
      <c r="B51" s="153" t="inlineStr">
        <is>
          <t>Estaño (Sn)</t>
        </is>
      </c>
      <c r="C51" s="154" t="n">
        <v>0</v>
      </c>
      <c r="D51" s="154" t="n"/>
      <c r="E51" s="154" t="n"/>
      <c r="F51" s="154" t="n"/>
      <c r="G51" s="154" t="n"/>
      <c r="H51" s="154" t="n"/>
      <c r="I51" s="154" t="n"/>
      <c r="J51" s="154" t="n"/>
      <c r="K51" s="154" t="n"/>
      <c r="L51" s="154" t="n"/>
      <c r="M51" s="149" t="n"/>
      <c r="N51" s="164" t="n"/>
      <c r="O51" s="177" t="n"/>
      <c r="P51" s="164" t="n"/>
      <c r="Q51" s="177" t="n"/>
      <c r="R51" s="172" t="n"/>
      <c r="S51" s="151" t="n"/>
      <c r="T51" s="141" t="n"/>
      <c r="U51" s="141" t="n"/>
      <c r="V51" s="141" t="n"/>
      <c r="W51" s="152" t="n"/>
      <c r="X51" s="141" t="n"/>
      <c r="Y51" s="141" t="n"/>
      <c r="Z51" s="141" t="n"/>
    </row>
    <row r="52" ht="18" customHeight="1">
      <c r="A52" s="142" t="n"/>
      <c r="B52" s="158" t="n"/>
      <c r="C52" s="158" t="n"/>
      <c r="D52" s="158" t="n"/>
      <c r="E52" s="158" t="n"/>
      <c r="F52" s="158" t="n"/>
      <c r="G52" s="158" t="n"/>
      <c r="H52" s="158" t="n"/>
      <c r="I52" s="158" t="n"/>
      <c r="J52" s="158" t="n"/>
      <c r="K52" s="158" t="n"/>
      <c r="L52" s="158" t="n"/>
      <c r="N52" s="174" t="n"/>
      <c r="O52" s="182" t="n"/>
      <c r="P52" s="183" t="n"/>
      <c r="Q52" s="183" t="n"/>
      <c r="R52" s="155" t="n"/>
      <c r="S52" s="151" t="n"/>
      <c r="T52" s="141" t="n"/>
      <c r="U52" s="141" t="n"/>
      <c r="V52" s="141" t="n"/>
      <c r="W52" s="152" t="n"/>
      <c r="X52" s="141" t="n"/>
      <c r="Y52" s="141" t="n"/>
      <c r="Z52" s="141" t="n"/>
      <c r="AA52" s="141" t="n"/>
    </row>
    <row r="53" ht="18" customFormat="1" customHeight="1" s="173">
      <c r="A53" s="171" t="n"/>
      <c r="B53" s="275" t="inlineStr">
        <is>
          <t>OTROS ELEMENTOS - PPM (mg/kg)</t>
        </is>
      </c>
      <c r="C53" s="446" t="n"/>
      <c r="D53" s="446" t="n"/>
      <c r="E53" s="446" t="n"/>
      <c r="F53" s="446" t="n"/>
      <c r="G53" s="446" t="n"/>
      <c r="H53" s="446" t="n"/>
      <c r="I53" s="446" t="n"/>
      <c r="J53" s="446" t="n"/>
      <c r="K53" s="446" t="n"/>
      <c r="L53" s="447" t="n"/>
      <c r="M53" s="140" t="n"/>
      <c r="N53" s="276" t="inlineStr">
        <is>
          <t>* Rangos Generales</t>
        </is>
      </c>
      <c r="O53" s="436" t="n"/>
      <c r="P53" s="436" t="n"/>
      <c r="Q53" s="437" t="n"/>
      <c r="R53" s="172" t="n"/>
      <c r="S53" s="151" t="n"/>
      <c r="T53" s="141" t="n"/>
      <c r="U53" s="141" t="n"/>
      <c r="V53" s="141" t="n"/>
      <c r="W53" s="152" t="n"/>
      <c r="X53" s="141" t="n"/>
      <c r="Y53" s="141" t="n"/>
      <c r="Z53" s="141" t="n"/>
      <c r="AA53" s="141" t="n"/>
    </row>
    <row r="54" ht="18" customFormat="1" customHeight="1" s="173">
      <c r="A54" s="171" t="n"/>
      <c r="B54" s="448" t="n"/>
      <c r="C54" s="449" t="n"/>
      <c r="D54" s="449" t="n"/>
      <c r="E54" s="449" t="n"/>
      <c r="F54" s="449" t="n"/>
      <c r="G54" s="449" t="n"/>
      <c r="H54" s="449" t="n"/>
      <c r="I54" s="449" t="n"/>
      <c r="J54" s="449" t="n"/>
      <c r="K54" s="449" t="n"/>
      <c r="L54" s="450" t="n"/>
      <c r="M54" s="149" t="n"/>
      <c r="N54" s="276" t="inlineStr">
        <is>
          <t>Precaución</t>
        </is>
      </c>
      <c r="O54" s="437" t="n"/>
      <c r="P54" s="276" t="inlineStr">
        <is>
          <t>Anormal</t>
        </is>
      </c>
      <c r="Q54" s="437" t="n"/>
      <c r="R54" s="172" t="n"/>
      <c r="S54" s="151" t="n"/>
      <c r="T54" s="141" t="n"/>
      <c r="U54" s="141" t="n"/>
      <c r="V54" s="141" t="n"/>
      <c r="W54" s="152" t="n"/>
      <c r="X54" s="141" t="n"/>
      <c r="Y54" s="141" t="n"/>
      <c r="Z54" s="141" t="n"/>
    </row>
    <row r="55" ht="18" customFormat="1" customHeight="1" s="173">
      <c r="A55" s="171" t="n"/>
      <c r="B55" s="153" t="inlineStr">
        <is>
          <t>Mo (Molibdeno)</t>
        </is>
      </c>
      <c r="C55" s="154" t="n">
        <v>0</v>
      </c>
      <c r="D55" s="154" t="n"/>
      <c r="E55" s="154" t="n"/>
      <c r="F55" s="154" t="n"/>
      <c r="G55" s="154" t="n"/>
      <c r="H55" s="154" t="n"/>
      <c r="I55" s="154" t="n"/>
      <c r="J55" s="154" t="n"/>
      <c r="K55" s="154" t="n"/>
      <c r="L55" s="154" t="n"/>
      <c r="M55" s="149" t="n"/>
      <c r="N55" s="164" t="n"/>
      <c r="O55" s="178" t="n"/>
      <c r="P55" s="164" t="n"/>
      <c r="Q55" s="178" t="n"/>
      <c r="R55" s="172" t="n"/>
      <c r="S55" s="151" t="n"/>
      <c r="T55" s="141" t="n"/>
      <c r="U55" s="141" t="n"/>
      <c r="V55" s="141" t="n"/>
      <c r="W55" s="152" t="n"/>
      <c r="X55" s="141" t="n"/>
      <c r="Y55" s="141" t="n"/>
      <c r="Z55" s="141" t="n"/>
    </row>
    <row r="56" ht="18" customFormat="1" customHeight="1" s="173">
      <c r="A56" s="171" t="n"/>
      <c r="B56" s="153" t="inlineStr">
        <is>
          <t>B (Boro)</t>
        </is>
      </c>
      <c r="C56" s="154" t="n">
        <v>0</v>
      </c>
      <c r="D56" s="154" t="n"/>
      <c r="E56" s="154" t="n"/>
      <c r="F56" s="154" t="n"/>
      <c r="G56" s="154" t="n"/>
      <c r="H56" s="154" t="n"/>
      <c r="I56" s="154" t="n"/>
      <c r="J56" s="154" t="n"/>
      <c r="K56" s="154" t="n"/>
      <c r="L56" s="154" t="n"/>
      <c r="M56" s="149" t="n"/>
      <c r="N56" s="164" t="n"/>
      <c r="O56" s="178" t="n"/>
      <c r="P56" s="164" t="n"/>
      <c r="Q56" s="178" t="n"/>
      <c r="R56" s="172" t="n"/>
      <c r="S56" s="151" t="n"/>
      <c r="T56" s="141" t="n"/>
      <c r="U56" s="141" t="n"/>
      <c r="V56" s="141" t="n"/>
      <c r="W56" s="152" t="n"/>
      <c r="X56" s="141" t="n"/>
      <c r="Y56" s="141" t="n"/>
      <c r="Z56" s="141" t="n"/>
    </row>
    <row r="57" ht="18" customFormat="1" customHeight="1" s="173">
      <c r="A57" s="171" t="n"/>
      <c r="B57" s="153" t="inlineStr">
        <is>
          <t>Ba (Bario)</t>
        </is>
      </c>
      <c r="C57" s="154" t="n">
        <v>0</v>
      </c>
      <c r="D57" s="154" t="n"/>
      <c r="E57" s="154" t="n"/>
      <c r="F57" s="154" t="n"/>
      <c r="G57" s="154" t="n"/>
      <c r="H57" s="154" t="n"/>
      <c r="I57" s="154" t="n"/>
      <c r="J57" s="154" t="n"/>
      <c r="K57" s="154" t="n"/>
      <c r="L57" s="154" t="n"/>
      <c r="M57" s="149" t="n"/>
      <c r="N57" s="164" t="n"/>
      <c r="O57" s="178" t="n"/>
      <c r="P57" s="164" t="n"/>
      <c r="Q57" s="178" t="n"/>
      <c r="R57" s="172" t="n"/>
      <c r="S57" s="151" t="n"/>
      <c r="T57" s="141" t="n"/>
      <c r="U57" s="141" t="n"/>
      <c r="V57" s="141" t="n"/>
      <c r="W57" s="152" t="n"/>
      <c r="X57" s="141" t="n"/>
      <c r="Y57" s="141" t="n"/>
      <c r="Z57" s="141" t="n"/>
    </row>
    <row r="58" ht="18" customFormat="1" customHeight="1" s="173">
      <c r="A58" s="171" t="n"/>
      <c r="B58" s="153" t="inlineStr">
        <is>
          <t>Ti (Titaniao)</t>
        </is>
      </c>
      <c r="C58" s="154" t="n">
        <v>0</v>
      </c>
      <c r="D58" s="154" t="n"/>
      <c r="E58" s="154" t="n"/>
      <c r="F58" s="154" t="n"/>
      <c r="G58" s="154" t="n"/>
      <c r="H58" s="154" t="n"/>
      <c r="I58" s="154" t="n"/>
      <c r="J58" s="154" t="n"/>
      <c r="K58" s="154" t="n"/>
      <c r="L58" s="154" t="n"/>
      <c r="M58" s="140" t="n"/>
      <c r="N58" s="164" t="n"/>
      <c r="O58" s="178" t="n"/>
      <c r="P58" s="164" t="n"/>
      <c r="Q58" s="178" t="n"/>
      <c r="R58" s="172" t="n"/>
      <c r="S58" s="151" t="n"/>
      <c r="T58" s="141" t="n"/>
      <c r="U58" s="141" t="n"/>
      <c r="V58" s="141" t="n"/>
      <c r="W58" s="152" t="n"/>
      <c r="X58" s="141" t="n"/>
      <c r="Y58" s="141" t="n"/>
      <c r="Z58" s="141" t="n"/>
      <c r="AA58" s="141" t="n"/>
    </row>
    <row r="59" ht="18" customFormat="1" customHeight="1" s="173">
      <c r="A59" s="171" t="n"/>
      <c r="B59" s="153" t="inlineStr">
        <is>
          <t>Ag (Plata)</t>
        </is>
      </c>
      <c r="C59" s="154" t="n">
        <v>0</v>
      </c>
      <c r="D59" s="154" t="n"/>
      <c r="E59" s="154" t="n"/>
      <c r="F59" s="154" t="n"/>
      <c r="G59" s="154" t="n"/>
      <c r="H59" s="154" t="n"/>
      <c r="I59" s="154" t="n"/>
      <c r="J59" s="154" t="n"/>
      <c r="K59" s="154" t="n"/>
      <c r="L59" s="154" t="n"/>
      <c r="M59" s="149" t="n"/>
      <c r="N59" s="164" t="n"/>
      <c r="O59" s="178" t="n"/>
      <c r="P59" s="164" t="n"/>
      <c r="Q59" s="178" t="n"/>
      <c r="R59" s="172" t="n"/>
      <c r="S59" s="151" t="n"/>
      <c r="T59" s="141" t="n"/>
      <c r="U59" s="141" t="n"/>
      <c r="V59" s="141" t="n"/>
      <c r="W59" s="152" t="n"/>
      <c r="X59" s="141" t="n"/>
      <c r="Y59" s="141" t="n"/>
      <c r="Z59" s="141" t="n"/>
      <c r="AA59" s="141" t="n"/>
    </row>
    <row r="60" ht="18" customFormat="1" customHeight="1" s="173">
      <c r="A60" s="171" t="n"/>
      <c r="B60" s="158" t="n"/>
      <c r="C60" s="158" t="n"/>
      <c r="D60" s="158" t="n"/>
      <c r="E60" s="158" t="n"/>
      <c r="F60" s="158" t="n"/>
      <c r="G60" s="158" t="n"/>
      <c r="H60" s="158" t="n"/>
      <c r="I60" s="158" t="n"/>
      <c r="J60" s="158" t="n"/>
      <c r="K60" s="158" t="n"/>
      <c r="L60" s="158" t="n"/>
      <c r="M60" s="141" t="n"/>
      <c r="N60" s="141" t="n"/>
      <c r="O60" s="141" t="n"/>
      <c r="P60" s="141" t="n"/>
      <c r="Q60" s="141" t="n"/>
      <c r="R60" s="172" t="n"/>
      <c r="S60" s="151" t="n"/>
      <c r="T60" s="141" t="n"/>
      <c r="U60" s="141" t="n"/>
      <c r="V60" s="141" t="n"/>
      <c r="W60" s="152" t="n"/>
      <c r="X60" s="141" t="n"/>
      <c r="Y60" s="141" t="n"/>
      <c r="Z60" s="141" t="n"/>
      <c r="AA60" s="141" t="n"/>
    </row>
    <row r="61" ht="18" customFormat="1" customHeight="1" s="173">
      <c r="A61" s="171" t="n"/>
      <c r="B61" s="275" t="inlineStr">
        <is>
          <t>PRESENCIA DE ADITIVOS - PPM (mg/kg)</t>
        </is>
      </c>
      <c r="C61" s="446" t="n"/>
      <c r="D61" s="446" t="n"/>
      <c r="E61" s="446" t="n"/>
      <c r="F61" s="446" t="n"/>
      <c r="G61" s="446" t="n"/>
      <c r="H61" s="446" t="n"/>
      <c r="I61" s="446" t="n"/>
      <c r="J61" s="446" t="n"/>
      <c r="K61" s="446" t="n"/>
      <c r="L61" s="447" t="n"/>
      <c r="M61" s="141" t="n"/>
      <c r="N61" s="141" t="n"/>
      <c r="O61" s="141" t="n"/>
      <c r="P61" s="141" t="n"/>
      <c r="Q61" s="141" t="n"/>
      <c r="R61" s="172" t="n"/>
      <c r="S61" s="151" t="n"/>
      <c r="T61" s="141" t="n"/>
      <c r="U61" s="141" t="n"/>
      <c r="V61" s="141" t="n"/>
      <c r="W61" s="152" t="n"/>
      <c r="X61" s="141" t="n"/>
      <c r="Y61" s="141" t="n"/>
      <c r="Z61" s="141" t="n"/>
      <c r="AA61" s="141" t="n"/>
    </row>
    <row r="62" ht="18" customHeight="1">
      <c r="A62" s="142" t="n"/>
      <c r="B62" s="448" t="n"/>
      <c r="C62" s="449" t="n"/>
      <c r="D62" s="449" t="n"/>
      <c r="E62" s="449" t="n"/>
      <c r="F62" s="449" t="n"/>
      <c r="G62" s="449" t="n"/>
      <c r="H62" s="449" t="n"/>
      <c r="I62" s="449" t="n"/>
      <c r="J62" s="449" t="n"/>
      <c r="K62" s="449" t="n"/>
      <c r="L62" s="450" t="n"/>
      <c r="M62" s="141" t="n"/>
      <c r="N62" s="141" t="n"/>
      <c r="O62" s="141" t="n"/>
      <c r="P62" s="141" t="n"/>
      <c r="Q62" s="141" t="n"/>
      <c r="R62" s="155" t="n"/>
      <c r="S62" s="151" t="n"/>
      <c r="T62" s="141" t="n"/>
      <c r="U62" s="141" t="n"/>
      <c r="V62" s="141" t="n"/>
      <c r="W62" s="152" t="n"/>
      <c r="X62" s="141" t="n"/>
      <c r="Y62" s="141" t="n"/>
      <c r="Z62" s="141" t="n"/>
      <c r="AA62" s="141" t="n"/>
    </row>
    <row r="63" ht="18" customHeight="1">
      <c r="A63" s="142" t="n"/>
      <c r="B63" s="153" t="inlineStr">
        <is>
          <t>Ca (Calcio)</t>
        </is>
      </c>
      <c r="C63" s="154" t="n">
        <v>0</v>
      </c>
      <c r="D63" s="154" t="n"/>
      <c r="E63" s="154" t="n"/>
      <c r="F63" s="154" t="n"/>
      <c r="G63" s="154" t="n"/>
      <c r="H63" s="154" t="n"/>
      <c r="I63" s="154" t="n"/>
      <c r="J63" s="154" t="n"/>
      <c r="K63" s="154" t="n"/>
      <c r="L63" s="154" t="n"/>
      <c r="M63" s="141" t="n"/>
      <c r="N63" s="141" t="n"/>
      <c r="O63" s="141" t="n"/>
      <c r="P63" s="141" t="n"/>
      <c r="Q63" s="141" t="n"/>
      <c r="R63" s="155" t="n"/>
      <c r="S63" s="151" t="n"/>
      <c r="T63" s="141" t="n"/>
      <c r="U63" s="141" t="n"/>
      <c r="V63" s="141" t="n"/>
      <c r="W63" s="152" t="n"/>
      <c r="X63" s="141" t="n"/>
      <c r="Y63" s="141" t="n"/>
      <c r="Z63" s="141" t="n"/>
      <c r="AA63" s="141" t="n"/>
    </row>
    <row r="64" ht="18" customHeight="1">
      <c r="A64" s="142" t="n"/>
      <c r="B64" s="153" t="inlineStr">
        <is>
          <t>Mg (Magnesio)</t>
        </is>
      </c>
      <c r="C64" s="154" t="n">
        <v>0</v>
      </c>
      <c r="D64" s="154" t="n"/>
      <c r="E64" s="154" t="n"/>
      <c r="F64" s="154" t="n"/>
      <c r="G64" s="154" t="n"/>
      <c r="H64" s="154" t="n"/>
      <c r="I64" s="154" t="n"/>
      <c r="J64" s="154" t="n"/>
      <c r="K64" s="154" t="n"/>
      <c r="L64" s="154" t="n"/>
      <c r="M64" s="141" t="n"/>
      <c r="N64" s="141" t="n"/>
      <c r="O64" s="141" t="n"/>
      <c r="P64" s="141" t="n"/>
      <c r="Q64" s="141" t="n"/>
      <c r="R64" s="155" t="n"/>
      <c r="S64" s="151" t="n"/>
      <c r="T64" s="141" t="n"/>
      <c r="U64" s="141" t="n"/>
      <c r="V64" s="141" t="n"/>
      <c r="W64" s="152" t="n"/>
      <c r="X64" s="141" t="n"/>
      <c r="Y64" s="141" t="n"/>
      <c r="Z64" s="141" t="n"/>
      <c r="AA64" s="141" t="n"/>
    </row>
    <row r="65" ht="18" customHeight="1">
      <c r="A65" s="142" t="n"/>
      <c r="B65" s="153" t="inlineStr">
        <is>
          <t>Zn (Zinc)</t>
        </is>
      </c>
      <c r="C65" s="154" t="n">
        <v>0</v>
      </c>
      <c r="D65" s="154" t="n"/>
      <c r="E65" s="154" t="n"/>
      <c r="F65" s="154" t="n"/>
      <c r="G65" s="154" t="n"/>
      <c r="H65" s="154" t="n"/>
      <c r="I65" s="154" t="n"/>
      <c r="J65" s="154" t="n"/>
      <c r="K65" s="154" t="n"/>
      <c r="L65" s="154" t="n"/>
      <c r="M65" s="141" t="n"/>
      <c r="N65" s="141" t="n"/>
      <c r="O65" s="141" t="n"/>
      <c r="P65" s="141" t="n"/>
      <c r="Q65" s="141" t="n"/>
      <c r="R65" s="155" t="n"/>
      <c r="S65" s="151" t="n"/>
      <c r="T65" s="141" t="n"/>
      <c r="U65" s="141" t="n"/>
      <c r="V65" s="141" t="n"/>
      <c r="W65" s="152" t="n"/>
      <c r="X65" s="141" t="n"/>
      <c r="Y65" s="141" t="n"/>
      <c r="Z65" s="141" t="n"/>
      <c r="AA65" s="141" t="n"/>
    </row>
    <row r="66" ht="18" customHeight="1">
      <c r="A66" s="142" t="n"/>
      <c r="B66" s="153" t="inlineStr">
        <is>
          <t>P (Fosforo)</t>
        </is>
      </c>
      <c r="C66" s="154" t="n">
        <v>0</v>
      </c>
      <c r="D66" s="154" t="n"/>
      <c r="E66" s="154" t="n"/>
      <c r="F66" s="154" t="n"/>
      <c r="G66" s="154" t="n"/>
      <c r="H66" s="154" t="n"/>
      <c r="I66" s="154" t="n"/>
      <c r="J66" s="154" t="n"/>
      <c r="K66" s="154" t="n"/>
      <c r="L66" s="154" t="n"/>
      <c r="M66" s="141" t="n"/>
      <c r="N66" s="141" t="n"/>
      <c r="O66" s="141" t="n"/>
      <c r="P66" s="141" t="n"/>
      <c r="Q66" s="141" t="n"/>
      <c r="R66" s="155" t="n"/>
      <c r="S66" s="151" t="n"/>
      <c r="T66" s="141" t="n"/>
      <c r="U66" s="141" t="n"/>
      <c r="V66" s="141" t="n"/>
      <c r="W66" s="152" t="n"/>
      <c r="X66" s="141" t="n"/>
      <c r="Y66" s="141" t="n"/>
      <c r="Z66" s="141" t="n"/>
      <c r="AA66" s="141" t="n"/>
    </row>
    <row r="67" ht="18" customHeight="1" thickBot="1">
      <c r="A67" s="184" t="n"/>
      <c r="B67" s="185" t="n"/>
      <c r="C67" s="185" t="n"/>
      <c r="D67" s="185" t="n"/>
      <c r="E67" s="185" t="n"/>
      <c r="F67" s="185" t="n"/>
      <c r="G67" s="185" t="n"/>
      <c r="H67" s="185" t="n"/>
      <c r="I67" s="185" t="n"/>
      <c r="J67" s="185" t="n"/>
      <c r="K67" s="185" t="n"/>
      <c r="L67" s="185" t="n"/>
      <c r="M67" s="186" t="n"/>
      <c r="N67" s="186" t="n"/>
      <c r="O67" s="187" t="n"/>
      <c r="P67" s="187" t="n"/>
      <c r="Q67" s="187" t="n"/>
      <c r="R67" s="188" t="n"/>
      <c r="S67" s="151" t="n"/>
      <c r="T67" s="141" t="n"/>
      <c r="U67" s="141" t="n"/>
      <c r="V67" s="141" t="n"/>
      <c r="W67" s="152" t="n"/>
      <c r="X67" s="141" t="n"/>
      <c r="Y67" s="141" t="n"/>
      <c r="Z67" s="141" t="n"/>
      <c r="AA67" s="141" t="n"/>
    </row>
    <row r="68" ht="15" customHeight="1">
      <c r="A68" s="189" t="n"/>
      <c r="B68" s="190" t="n"/>
      <c r="C68" s="190" t="n"/>
      <c r="D68" s="190" t="n"/>
      <c r="E68" s="190" t="n"/>
      <c r="F68" s="190" t="n"/>
      <c r="G68" s="190" t="n"/>
      <c r="H68" s="190" t="n"/>
      <c r="I68" s="190" t="n"/>
      <c r="J68" s="190" t="n"/>
      <c r="K68" s="190" t="n"/>
      <c r="L68" s="190" t="n"/>
      <c r="M68" s="190" t="n"/>
      <c r="N68" s="190" t="n"/>
      <c r="O68" s="190" t="n"/>
      <c r="P68" s="190" t="n"/>
      <c r="Q68" s="190" t="n"/>
      <c r="R68" s="190" t="n"/>
      <c r="S68" s="190" t="n"/>
      <c r="T68" s="190" t="n"/>
      <c r="U68" s="190" t="n"/>
      <c r="V68" s="190" t="n"/>
      <c r="W68" s="191" t="n"/>
      <c r="X68" s="141" t="n"/>
      <c r="Y68" s="141" t="n"/>
      <c r="Z68" s="141" t="n"/>
      <c r="AA68" s="141" t="n"/>
    </row>
    <row r="69" ht="15" customHeight="1">
      <c r="A69" s="142" t="n"/>
      <c r="B69" s="149" t="inlineStr">
        <is>
          <t>ELABORADO POR:</t>
        </is>
      </c>
      <c r="D69" s="149" t="inlineStr">
        <is>
          <t>REVISADO POR:</t>
        </is>
      </c>
      <c r="E69" s="149" t="n"/>
      <c r="F69" s="149" t="n"/>
      <c r="W69" s="155" t="n"/>
      <c r="X69" s="141" t="n"/>
      <c r="Y69" s="141" t="n"/>
      <c r="Z69" s="141" t="n"/>
      <c r="AA69" s="141" t="n"/>
    </row>
    <row r="70" ht="42" customHeight="1">
      <c r="A70" s="142" t="n"/>
      <c r="G70" s="141" t="n"/>
      <c r="H70" s="141" t="n"/>
      <c r="I70" s="141" t="n"/>
      <c r="J70" s="141" t="n"/>
      <c r="K70" s="141" t="n"/>
      <c r="L70" s="141" t="n"/>
      <c r="W70" s="155" t="n"/>
      <c r="X70" s="141" t="n"/>
      <c r="Y70" s="141" t="n"/>
      <c r="Z70" s="141" t="n"/>
      <c r="AA70" s="141" t="n"/>
    </row>
    <row r="71" ht="41.25" customHeight="1" thickBot="1">
      <c r="A71" s="142" t="n"/>
      <c r="B71" s="192" t="n"/>
      <c r="D71" s="192" t="n"/>
      <c r="E71" s="192" t="n"/>
      <c r="F71" s="192" t="n"/>
      <c r="G71" s="141" t="n"/>
      <c r="H71" s="141" t="n"/>
      <c r="I71" s="141" t="n"/>
      <c r="J71" s="141" t="n"/>
      <c r="K71" s="141" t="n"/>
      <c r="L71" s="141" t="n"/>
      <c r="W71" s="155" t="n"/>
      <c r="X71" s="141" t="n"/>
      <c r="Y71" s="141" t="n"/>
      <c r="Z71" s="141" t="n"/>
      <c r="AA71" s="141" t="n"/>
    </row>
    <row r="72" ht="15" customHeight="1">
      <c r="A72" s="142" t="n"/>
      <c r="B72" s="149" t="inlineStr">
        <is>
          <t>Analista Autorizado</t>
        </is>
      </c>
      <c r="D72" s="149" t="inlineStr">
        <is>
          <t>Jefe de Servicio Post Venta</t>
        </is>
      </c>
      <c r="E72" s="149" t="n"/>
      <c r="F72" s="149" t="n"/>
      <c r="W72" s="155" t="n"/>
      <c r="X72" s="141" t="n"/>
      <c r="Y72" s="141" t="n"/>
      <c r="Z72" s="141" t="n"/>
      <c r="AA72" s="141" t="n"/>
    </row>
    <row r="73" ht="15" customHeight="1">
      <c r="A73" s="142" t="n"/>
      <c r="B73" s="149" t="inlineStr">
        <is>
          <t>Dpto. Laboratorio</t>
        </is>
      </c>
      <c r="D73" s="149" t="inlineStr">
        <is>
          <t>Dpto. Técnico y Laboratorio</t>
        </is>
      </c>
      <c r="E73" s="149" t="n"/>
      <c r="F73" s="149" t="n"/>
      <c r="W73" s="155" t="n"/>
      <c r="X73" s="141" t="n"/>
      <c r="Y73" s="141" t="n"/>
      <c r="Z73" s="141" t="n"/>
      <c r="AA73" s="141" t="n"/>
    </row>
    <row r="74" ht="12.75" customHeight="1" thickBot="1">
      <c r="A74" s="184" t="n"/>
      <c r="B74" s="193" t="inlineStr">
        <is>
          <t>Lubricantes Internacionales S.A.</t>
        </is>
      </c>
      <c r="C74" s="192" t="n"/>
      <c r="D74" s="193" t="inlineStr">
        <is>
          <t>Lubricantes Internacionales S.A.</t>
        </is>
      </c>
      <c r="E74" s="193" t="n"/>
      <c r="F74" s="193" t="n"/>
      <c r="G74" s="192" t="n"/>
      <c r="H74" s="192" t="n"/>
      <c r="I74" s="192" t="n"/>
      <c r="J74" s="192" t="n"/>
      <c r="K74" s="192" t="n"/>
      <c r="L74" s="192" t="n"/>
      <c r="M74" s="192" t="n"/>
      <c r="N74" s="192" t="n"/>
      <c r="O74" s="192" t="n"/>
      <c r="P74" s="192" t="n"/>
      <c r="Q74" s="192" t="n"/>
      <c r="R74" s="192" t="n"/>
      <c r="S74" s="192" t="n"/>
      <c r="T74" s="192" t="n"/>
      <c r="U74" s="192" t="n"/>
      <c r="V74" s="192" t="n"/>
      <c r="W74" s="188" t="n"/>
    </row>
    <row r="75" ht="15.75" customHeight="1" thickBot="1">
      <c r="A75" s="184" t="n"/>
      <c r="B75" s="194" t="inlineStr">
        <is>
          <t>VEN-FOR-006J  VERSION:1 FECHA 2021-SEPT-14</t>
        </is>
      </c>
      <c r="C75" s="192" t="n"/>
      <c r="D75" s="192" t="n"/>
      <c r="E75" s="192" t="n"/>
      <c r="F75" s="192" t="n"/>
      <c r="G75" s="192" t="n"/>
      <c r="H75" s="192" t="n"/>
      <c r="I75" s="192" t="n"/>
      <c r="J75" s="192" t="n"/>
      <c r="K75" s="192" t="n"/>
      <c r="L75" s="192" t="n"/>
      <c r="M75" s="192" t="n"/>
      <c r="N75" s="192" t="n"/>
      <c r="O75" s="192" t="n"/>
      <c r="P75" s="192" t="n"/>
      <c r="Q75" s="192" t="n"/>
      <c r="R75" s="192" t="n"/>
      <c r="S75" s="192" t="n"/>
      <c r="T75" s="192" t="n"/>
      <c r="U75" s="192" t="n"/>
      <c r="V75" s="192" t="n"/>
      <c r="W75" s="192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FMLMr44hFn+mCp/cD2ZsUg==" formatRows="1" sort="1" spinCount="100000" hashValue="N/r9e7EYvxpwgECzaUPp/JC5pORXVb1GKIgsF4z5RsnCROhiJW8NigCvh1KuIVFOoczZJiD7Z1gjYHUoNYDdcw=="/>
  <mergeCells count="47">
    <mergeCell ref="P26:Q26"/>
    <mergeCell ref="H3:K3"/>
    <mergeCell ref="P38:Q38"/>
    <mergeCell ref="N54:O54"/>
    <mergeCell ref="C2:G3"/>
    <mergeCell ref="B37:L38"/>
    <mergeCell ref="B10:L11"/>
    <mergeCell ref="N30:Q30"/>
    <mergeCell ref="L6:R6"/>
    <mergeCell ref="P31:Q31"/>
    <mergeCell ref="B44:L45"/>
    <mergeCell ref="B53:L54"/>
    <mergeCell ref="H5:K5"/>
    <mergeCell ref="A1:W1"/>
    <mergeCell ref="N21:O21"/>
    <mergeCell ref="C4:G8"/>
    <mergeCell ref="S2:W2"/>
    <mergeCell ref="P21:Q21"/>
    <mergeCell ref="H8:K8"/>
    <mergeCell ref="L2:R2"/>
    <mergeCell ref="N20:Q20"/>
    <mergeCell ref="B20:L21"/>
    <mergeCell ref="L7:R7"/>
    <mergeCell ref="S5:W8"/>
    <mergeCell ref="N25:Q25"/>
    <mergeCell ref="B30:L31"/>
    <mergeCell ref="H4:K4"/>
    <mergeCell ref="N37:Q37"/>
    <mergeCell ref="N53:Q53"/>
    <mergeCell ref="N38:O38"/>
    <mergeCell ref="L3:R3"/>
    <mergeCell ref="S3:W4"/>
    <mergeCell ref="H6:K6"/>
    <mergeCell ref="P28:Q28"/>
    <mergeCell ref="N31:O31"/>
    <mergeCell ref="B9:O9"/>
    <mergeCell ref="L5:R5"/>
    <mergeCell ref="A2:B8"/>
    <mergeCell ref="B61:L62"/>
    <mergeCell ref="L8:R8"/>
    <mergeCell ref="L4:R4"/>
    <mergeCell ref="H2:K2"/>
    <mergeCell ref="N44:Q44"/>
    <mergeCell ref="H7:K7"/>
    <mergeCell ref="N45:O45"/>
    <mergeCell ref="P45:Q45"/>
    <mergeCell ref="P54:Q54"/>
  </mergeCells>
  <conditionalFormatting sqref="C22">
    <cfRule type="cellIs" priority="32" operator="greaterThan" dxfId="0" stopIfTrue="1">
      <formula>$Q$22</formula>
    </cfRule>
    <cfRule type="cellIs" priority="31" operator="lessThan" dxfId="0" stopIfTrue="1">
      <formula>$O$22</formula>
    </cfRule>
  </conditionalFormatting>
  <conditionalFormatting sqref="C23">
    <cfRule type="cellIs" priority="29" operator="lessThan" dxfId="0" stopIfTrue="1">
      <formula>$O$23</formula>
    </cfRule>
    <cfRule type="cellIs" priority="30" operator="greaterThan" dxfId="0" stopIfTrue="1">
      <formula>$Q$23</formula>
    </cfRule>
  </conditionalFormatting>
  <conditionalFormatting sqref="C18:L18">
    <cfRule type="containsText" priority="22" operator="containsText" dxfId="2" stopIfTrue="1" text="ANORMAL">
      <formula>NOT(ISERROR(SEARCH("ANORMAL",C18)))</formula>
    </cfRule>
    <cfRule type="containsText" priority="23" operator="containsText" dxfId="3" stopIfTrue="1" text="N/D">
      <formula>NOT(ISERROR(SEARCH("N/D",C18)))</formula>
    </cfRule>
    <cfRule type="containsText" priority="24" operator="containsText" dxfId="0" stopIfTrue="1" text="PRECAUCIÓN">
      <formula>NOT(ISERROR(SEARCH("PRECAUCIÓN",C18)))</formula>
    </cfRule>
    <cfRule type="containsText" priority="25" operator="containsText" dxfId="1" stopIfTrue="1" text="NORMAL">
      <formula>NOT(ISERROR(SEARCH("NORMAL",C18)))</formula>
    </cfRule>
  </conditionalFormatting>
  <conditionalFormatting sqref="C26:L26">
    <cfRule type="cellIs" priority="8" operator="equal" dxfId="2" stopIfTrue="1">
      <formula>"POSITIVO"</formula>
    </cfRule>
  </conditionalFormatting>
  <conditionalFormatting sqref="C27:L27">
    <cfRule type="cellIs" priority="11" operator="greaterThanOrEqual" dxfId="2" stopIfTrue="1">
      <formula>$Q$27</formula>
    </cfRule>
  </conditionalFormatting>
  <conditionalFormatting sqref="C28:L28">
    <cfRule type="cellIs" priority="7" operator="equal" dxfId="2" stopIfTrue="1">
      <formula>"POSITIVO"</formula>
    </cfRule>
  </conditionalFormatting>
  <conditionalFormatting sqref="C32:L32">
    <cfRule type="cellIs" priority="53" operator="greaterThanOrEqual" dxfId="2" stopIfTrue="1">
      <formula>$Q$32</formula>
    </cfRule>
    <cfRule type="cellIs" priority="54" operator="between" dxfId="0" stopIfTrue="1">
      <formula>$O$32</formula>
      <formula>$Q$32</formula>
    </cfRule>
  </conditionalFormatting>
  <conditionalFormatting sqref="C33:L33">
    <cfRule type="cellIs" priority="3" operator="greaterThanOrEqual" dxfId="2" stopIfTrue="1">
      <formula>$Q$33</formula>
    </cfRule>
    <cfRule type="cellIs" priority="4" operator="between" dxfId="0" stopIfTrue="1">
      <formula>$O$33</formula>
      <formula>$Q$33</formula>
    </cfRule>
  </conditionalFormatting>
  <conditionalFormatting sqref="C34:L34">
    <cfRule type="cellIs" priority="5" operator="greaterThanOrEqual" dxfId="2" stopIfTrue="1">
      <formula>$Q$34</formula>
    </cfRule>
    <cfRule type="cellIs" priority="6" operator="between" dxfId="0" stopIfTrue="1">
      <formula>$O$34</formula>
      <formula>$Q$34</formula>
    </cfRule>
  </conditionalFormatting>
  <conditionalFormatting sqref="C35:L35">
    <cfRule type="cellIs" priority="2" operator="between" dxfId="0" stopIfTrue="1">
      <formula>$O$35</formula>
      <formula>$Q$35</formula>
    </cfRule>
    <cfRule type="cellIs" priority="1" operator="greaterThanOrEqual" dxfId="2" stopIfTrue="1">
      <formula>$Q$35</formula>
    </cfRule>
  </conditionalFormatting>
  <conditionalFormatting sqref="C39:L39">
    <cfRule type="cellIs" priority="40" operator="greaterThanOrEqual" dxfId="2" stopIfTrue="1">
      <formula>$Q$39</formula>
    </cfRule>
    <cfRule type="cellIs" priority="41" operator="between" dxfId="0" stopIfTrue="1">
      <formula>$O$39</formula>
      <formula>$Q$39</formula>
    </cfRule>
  </conditionalFormatting>
  <conditionalFormatting sqref="C40:L40">
    <cfRule type="cellIs" priority="38" operator="greaterThanOrEqual" dxfId="2" stopIfTrue="1">
      <formula>$Q$40</formula>
    </cfRule>
    <cfRule type="cellIs" priority="39" operator="between" dxfId="0" stopIfTrue="1">
      <formula>$O$40</formula>
      <formula>$Q$40</formula>
    </cfRule>
  </conditionalFormatting>
  <conditionalFormatting sqref="C41:L41">
    <cfRule type="cellIs" priority="16" operator="greaterThanOrEqual" dxfId="2" stopIfTrue="1">
      <formula>$Q$41</formula>
    </cfRule>
    <cfRule type="cellIs" priority="17" operator="between" dxfId="0" stopIfTrue="1">
      <formula>$O$41</formula>
      <formula>$Q$41</formula>
    </cfRule>
  </conditionalFormatting>
  <conditionalFormatting sqref="C42:L42">
    <cfRule type="cellIs" priority="14" operator="greaterThanOrEqual" dxfId="2" stopIfTrue="1">
      <formula>$Q$42</formula>
    </cfRule>
    <cfRule type="cellIs" priority="15" operator="between" dxfId="0" stopIfTrue="1">
      <formula>$O$42</formula>
      <formula>$Q$42</formula>
    </cfRule>
  </conditionalFormatting>
  <conditionalFormatting sqref="C46:L46">
    <cfRule type="cellIs" priority="12" operator="greaterThanOrEqual" dxfId="2" stopIfTrue="1">
      <formula>$Q$46</formula>
    </cfRule>
    <cfRule type="cellIs" priority="13" operator="between" dxfId="0" stopIfTrue="1">
      <formula>$O$46</formula>
      <formula>$Q$46</formula>
    </cfRule>
  </conditionalFormatting>
  <conditionalFormatting sqref="C47:L47">
    <cfRule type="cellIs" priority="49" operator="between" dxfId="0" stopIfTrue="1">
      <formula>$O$47</formula>
      <formula>$Q$47</formula>
    </cfRule>
    <cfRule type="cellIs" priority="48" operator="greaterThanOrEqual" dxfId="2" stopIfTrue="1">
      <formula>$Q$47</formula>
    </cfRule>
  </conditionalFormatting>
  <conditionalFormatting sqref="C48:L48">
    <cfRule type="cellIs" priority="50" operator="greaterThanOrEqual" dxfId="2" stopIfTrue="1">
      <formula>$Q$48</formula>
    </cfRule>
    <cfRule type="cellIs" priority="51" operator="between" dxfId="0" stopIfTrue="1">
      <formula>$O$48</formula>
      <formula>$Q$48</formula>
    </cfRule>
  </conditionalFormatting>
  <conditionalFormatting sqref="C49:L49">
    <cfRule type="cellIs" priority="46" operator="greaterThanOrEqual" dxfId="2" stopIfTrue="1">
      <formula>$Q$49</formula>
    </cfRule>
    <cfRule type="cellIs" priority="47" operator="between" dxfId="0" stopIfTrue="1">
      <formula>$O$49</formula>
      <formula>$Q$49</formula>
    </cfRule>
  </conditionalFormatting>
  <conditionalFormatting sqref="C50:L50">
    <cfRule type="cellIs" priority="44" operator="greaterThanOrEqual" dxfId="2" stopIfTrue="1">
      <formula>$Q$50</formula>
    </cfRule>
    <cfRule type="cellIs" priority="45" operator="between" dxfId="0" stopIfTrue="1">
      <formula>$O$50</formula>
      <formula>$Q$50</formula>
    </cfRule>
  </conditionalFormatting>
  <conditionalFormatting sqref="C51:L51">
    <cfRule type="cellIs" priority="42" operator="greaterThanOrEqual" dxfId="2" stopIfTrue="1">
      <formula>$Q$51</formula>
    </cfRule>
    <cfRule type="cellIs" priority="43" operator="between" dxfId="0" stopIfTrue="1">
      <formula>$O$51</formula>
      <formula>$Q$51</formula>
    </cfRule>
  </conditionalFormatting>
  <conditionalFormatting sqref="C55:L55">
    <cfRule type="cellIs" priority="37" operator="greaterThanOrEqual" dxfId="2" stopIfTrue="1">
      <formula>$Q$55</formula>
    </cfRule>
  </conditionalFormatting>
  <conditionalFormatting sqref="C56:L56">
    <cfRule type="cellIs" priority="36" operator="greaterThanOrEqual" dxfId="2" stopIfTrue="1">
      <formula>$Q$56</formula>
    </cfRule>
  </conditionalFormatting>
  <conditionalFormatting sqref="C57:L57">
    <cfRule type="cellIs" priority="35" operator="greaterThanOrEqual" dxfId="2" stopIfTrue="1">
      <formula>$Q$57</formula>
    </cfRule>
  </conditionalFormatting>
  <conditionalFormatting sqref="C58:L58">
    <cfRule type="cellIs" priority="33" operator="greaterThanOrEqual" dxfId="2" stopIfTrue="1">
      <formula>$Q$58</formula>
    </cfRule>
  </conditionalFormatting>
  <conditionalFormatting sqref="C59:L59">
    <cfRule type="cellIs" priority="34" operator="greaterThanOrEqual" dxfId="2" stopIfTrue="1">
      <formula>$Q$59</formula>
    </cfRule>
  </conditionalFormatting>
  <conditionalFormatting sqref="S3">
    <cfRule type="containsText" priority="18" operator="containsText" dxfId="3" stopIfTrue="1" text="SIN EVALUACIÓN">
      <formula>NOT(ISERROR(SEARCH("SIN EVALUACIÓN",S3)))</formula>
    </cfRule>
    <cfRule type="containsText" priority="21" operator="containsText" dxfId="2" stopIfTrue="1" text="PARÁMETROS ANORMALES">
      <formula>NOT(ISERROR(SEARCH("PARÁMETROS ANORMALES",S3)))</formula>
    </cfRule>
    <cfRule type="containsText" priority="20" operator="containsText" dxfId="1" stopIfTrue="1" text="PARÁMETROS NORMALES">
      <formula>NOT(ISERROR(SEARCH("PARÁMETROS NORMALES",S3)))</formula>
    </cfRule>
    <cfRule type="containsText" priority="19" operator="containsText" dxfId="0" stopIfTrue="1" text="PRECAUCIÓN">
      <formula>NOT(ISERROR(SEARCH("PRECAUCIÓN",S3)))</formula>
    </cfRule>
  </conditionalFormatting>
  <conditionalFormatting sqref="X21:AB21">
    <cfRule type="iconSet" priority="60">
      <iconSet iconSet="3Arrows">
        <cfvo type="percent" val="0"/>
        <cfvo type="percent" val="33"/>
        <cfvo type="percent" val="67"/>
      </iconSet>
    </cfRule>
  </conditionalFormatting>
  <conditionalFormatting sqref="X31:AB31">
    <cfRule type="iconSet" priority="59">
      <iconSet iconSet="3Arrows">
        <cfvo type="percent" val="0"/>
        <cfvo type="percent" val="33"/>
        <cfvo type="percent" val="67"/>
      </iconSet>
    </cfRule>
  </conditionalFormatting>
  <dataValidations count="4">
    <dataValidation sqref="C18:L18" showDropDown="0" showInputMessage="1" showErrorMessage="1" allowBlank="1" type="list">
      <formula1>"NORMAL,PRECAUCIÓN,ANORMAL,N/D"</formula1>
    </dataValidation>
    <dataValidation sqref="L2" showDropDown="0" showInputMessage="1" showErrorMessage="1" allowBlank="1" error="PARAMETROS FUERA DEL LIMITE CONDENATORIO_x000a_"/>
    <dataValidation sqref="S3" showDropDown="0" showInputMessage="1" showErrorMessage="1" allowBlank="1" type="list">
      <formula1>"PARÁMETROS NORMALES,PRECAUCIÓN,PARÁMETROS ANORMALES,SIN EVALUACIÓN"</formula1>
    </dataValidation>
    <dataValidation sqref="C26:L26 C28:L28" showDropDown="0" showInputMessage="1" showErrorMessage="1" allowBlank="1" type="list">
      <formula1>"NEGATIVO, POSITIVO"</formula1>
    </dataValidation>
  </dataValidations>
  <pageMargins left="0" right="0" top="0" bottom="0" header="0" footer="0"/>
  <pageSetup orientation="landscape" scale="42"/>
  <colBreaks count="1" manualBreakCount="1">
    <brk id="23" min="0" max="1048575" man="1"/>
  </colBreak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H75"/>
  <sheetViews>
    <sheetView showGridLines="0" view="pageBreakPreview" topLeftCell="A58" zoomScale="70" zoomScaleNormal="100" zoomScaleSheetLayoutView="70" workbookViewId="0">
      <selection activeCell="A90" sqref="A90"/>
    </sheetView>
  </sheetViews>
  <sheetFormatPr baseColWidth="10" defaultRowHeight="12"/>
  <cols>
    <col width="3.5703125" customWidth="1" style="140" min="1" max="1"/>
    <col width="54" customWidth="1" style="140" min="2" max="2"/>
    <col width="14.85546875" customWidth="1" style="140" min="3" max="12"/>
    <col width="2.140625" customWidth="1" style="140" min="13" max="13"/>
    <col width="4" customWidth="1" style="140" min="14" max="14"/>
    <col width="6.85546875" customWidth="1" style="140" min="15" max="15"/>
    <col width="4.140625" customWidth="1" style="140" min="16" max="16"/>
    <col width="6.7109375" customWidth="1" style="140" min="17" max="17"/>
    <col width="6.5703125" customWidth="1" style="140" min="18" max="18"/>
    <col width="22.42578125" customWidth="1" style="140" min="19" max="19"/>
    <col width="15.28515625" customWidth="1" style="140" min="20" max="23"/>
    <col width="11.42578125" customWidth="1" style="140" min="24" max="16384"/>
  </cols>
  <sheetData>
    <row r="1" ht="27.95" customHeight="1" thickBot="1">
      <c r="A1" s="424" t="inlineStr">
        <is>
          <t>REPORTE DE ANÁLISIS DE LUBRICANTE</t>
        </is>
      </c>
      <c r="B1" s="425" t="n"/>
      <c r="C1" s="425" t="n"/>
      <c r="D1" s="425" t="n"/>
      <c r="E1" s="425" t="n"/>
      <c r="F1" s="425" t="n"/>
      <c r="G1" s="425" t="n"/>
      <c r="H1" s="425" t="n"/>
      <c r="I1" s="425" t="n"/>
      <c r="J1" s="425" t="n"/>
      <c r="K1" s="425" t="n"/>
      <c r="L1" s="425" t="n"/>
      <c r="M1" s="425" t="n"/>
      <c r="N1" s="425" t="n"/>
      <c r="O1" s="425" t="n"/>
      <c r="P1" s="425" t="n"/>
      <c r="Q1" s="425" t="n"/>
      <c r="R1" s="425" t="n"/>
      <c r="S1" s="425" t="n"/>
      <c r="T1" s="425" t="n"/>
      <c r="U1" s="425" t="n"/>
      <c r="V1" s="425" t="n"/>
      <c r="W1" s="426" t="n"/>
    </row>
    <row r="2" ht="24" customHeight="1" thickBot="1">
      <c r="A2" s="427" t="n"/>
      <c r="B2" s="428" t="n"/>
      <c r="C2" s="429" t="inlineStr">
        <is>
          <t>NOMBRE DEL CLIENTE:</t>
        </is>
      </c>
      <c r="D2" s="430" t="n"/>
      <c r="E2" s="430" t="n"/>
      <c r="F2" s="430" t="n"/>
      <c r="G2" s="428" t="n"/>
      <c r="H2" s="311" t="inlineStr">
        <is>
          <t>Compartimento:</t>
        </is>
      </c>
      <c r="I2" s="431" t="n"/>
      <c r="J2" s="431" t="n"/>
      <c r="K2" s="432" t="n"/>
      <c r="L2" s="328">
        <f>Datos!A300</f>
        <v/>
      </c>
      <c r="M2" s="431" t="n"/>
      <c r="N2" s="431" t="n"/>
      <c r="O2" s="431" t="n"/>
      <c r="P2" s="431" t="n"/>
      <c r="Q2" s="431" t="n"/>
      <c r="R2" s="432" t="n"/>
      <c r="S2" s="433" t="inlineStr">
        <is>
          <t>Diagnóstico de la última muestra:</t>
        </is>
      </c>
      <c r="T2" s="425" t="n"/>
      <c r="U2" s="425" t="n"/>
      <c r="V2" s="425" t="n"/>
      <c r="W2" s="426" t="n"/>
      <c r="X2" s="141" t="n"/>
      <c r="Y2" s="141" t="n"/>
      <c r="Z2" s="141" t="n"/>
      <c r="AA2" s="141" t="inlineStr">
        <is>
          <t>TANDEM DERECHO</t>
        </is>
      </c>
      <c r="AB2" s="141" t="n"/>
    </row>
    <row r="3" ht="24" customHeight="1">
      <c r="A3" s="151" t="n"/>
      <c r="B3" s="434" t="n"/>
      <c r="C3" s="435" t="n"/>
      <c r="D3" s="141" t="n"/>
      <c r="E3" s="141" t="n"/>
      <c r="F3" s="141" t="n"/>
      <c r="G3" s="434" t="n"/>
      <c r="H3" s="317" t="inlineStr">
        <is>
          <t>Equipo:</t>
        </is>
      </c>
      <c r="I3" s="436" t="n"/>
      <c r="J3" s="436" t="n"/>
      <c r="K3" s="437" t="n"/>
      <c r="L3" s="210">
        <f>MOTOR!AA3</f>
        <v/>
      </c>
      <c r="M3" s="399" t="n"/>
      <c r="N3" s="399" t="n"/>
      <c r="O3" s="399" t="n"/>
      <c r="P3" s="399" t="n"/>
      <c r="Q3" s="399" t="n"/>
      <c r="R3" s="400" t="n"/>
      <c r="S3" s="438" t="inlineStr">
        <is>
          <t>SIN EVALUACIÓN</t>
        </is>
      </c>
      <c r="T3" s="430" t="n"/>
      <c r="U3" s="430" t="n"/>
      <c r="V3" s="430" t="n"/>
      <c r="W3" s="439" t="n"/>
      <c r="X3" s="141" t="n"/>
      <c r="Y3" s="141" t="n"/>
      <c r="Z3" s="141" t="n"/>
      <c r="AA3" s="141" t="inlineStr">
        <is>
          <t>UG 00</t>
        </is>
      </c>
      <c r="AB3" s="141" t="n"/>
      <c r="AH3" t="inlineStr">
        <is>
          <t>SIN EVALUACION</t>
        </is>
      </c>
    </row>
    <row r="4" ht="24" customHeight="1" thickBot="1">
      <c r="A4" s="151" t="n"/>
      <c r="B4" s="434" t="n"/>
      <c r="C4" s="404" t="inlineStr">
        <is>
          <t>JUSTICE COMPANY</t>
        </is>
      </c>
      <c r="G4" s="397" t="n"/>
      <c r="H4" s="317" t="inlineStr">
        <is>
          <t>Marca:</t>
        </is>
      </c>
      <c r="I4" s="436" t="n"/>
      <c r="J4" s="436" t="n"/>
      <c r="K4" s="437" t="n"/>
      <c r="L4" s="210">
        <f>MOTOR!AA4</f>
        <v/>
      </c>
      <c r="M4" s="399" t="n"/>
      <c r="N4" s="399" t="n"/>
      <c r="O4" s="399" t="n"/>
      <c r="P4" s="399" t="n"/>
      <c r="Q4" s="399" t="n"/>
      <c r="R4" s="400" t="n"/>
      <c r="S4" s="440" t="n"/>
      <c r="T4" s="187" t="n"/>
      <c r="U4" s="187" t="n"/>
      <c r="V4" s="187" t="n"/>
      <c r="W4" s="441" t="n"/>
      <c r="X4" s="141" t="n"/>
      <c r="Y4" s="141" t="n"/>
      <c r="Z4" s="141" t="n"/>
      <c r="AA4" s="141" t="inlineStr">
        <is>
          <t>MARCA EQUIPO</t>
        </is>
      </c>
      <c r="AB4" s="141" t="n"/>
    </row>
    <row r="5" ht="24" customHeight="1">
      <c r="A5" s="151" t="n"/>
      <c r="B5" s="434" t="n"/>
      <c r="C5" s="398" t="n"/>
      <c r="G5" s="397" t="n"/>
      <c r="H5" s="317" t="inlineStr">
        <is>
          <t>Serie:</t>
        </is>
      </c>
      <c r="I5" s="436" t="n"/>
      <c r="J5" s="436" t="n"/>
      <c r="K5" s="437" t="n"/>
      <c r="L5" s="210">
        <f>MOTOR!AA5</f>
        <v/>
      </c>
      <c r="M5" s="399" t="n"/>
      <c r="N5" s="399" t="n"/>
      <c r="O5" s="399" t="n"/>
      <c r="P5" s="399" t="n"/>
      <c r="Q5" s="399" t="n"/>
      <c r="R5" s="400" t="n"/>
      <c r="S5" s="442" t="n"/>
      <c r="T5" s="430" t="n"/>
      <c r="U5" s="430" t="n"/>
      <c r="V5" s="430" t="n"/>
      <c r="W5" s="439" t="n"/>
      <c r="X5" s="141" t="n"/>
      <c r="Y5" s="141" t="n"/>
      <c r="Z5" s="141" t="n"/>
      <c r="AA5" s="141" t="inlineStr">
        <is>
          <t>SERIE</t>
        </is>
      </c>
      <c r="AB5" s="141" t="n"/>
    </row>
    <row r="6" ht="24" customHeight="1">
      <c r="A6" s="151" t="n"/>
      <c r="B6" s="434" t="n"/>
      <c r="C6" s="398" t="n"/>
      <c r="G6" s="397" t="n"/>
      <c r="H6" s="317" t="inlineStr">
        <is>
          <t>Modelo:</t>
        </is>
      </c>
      <c r="I6" s="436" t="n"/>
      <c r="J6" s="436" t="n"/>
      <c r="K6" s="437" t="n"/>
      <c r="L6" s="210">
        <f>MOTOR!AA6</f>
        <v/>
      </c>
      <c r="M6" s="399" t="n"/>
      <c r="N6" s="399" t="n"/>
      <c r="O6" s="399" t="n"/>
      <c r="P6" s="399" t="n"/>
      <c r="Q6" s="399" t="n"/>
      <c r="R6" s="400" t="n"/>
      <c r="S6" s="151" t="n"/>
      <c r="T6" s="141" t="n"/>
      <c r="U6" s="141" t="n"/>
      <c r="V6" s="141" t="n"/>
      <c r="W6" s="152" t="n"/>
      <c r="X6" s="141" t="n"/>
      <c r="Y6" s="141" t="n"/>
      <c r="Z6" s="141" t="n"/>
      <c r="AA6" s="141" t="inlineStr">
        <is>
          <t>MODELO</t>
        </is>
      </c>
      <c r="AB6" s="141" t="n"/>
    </row>
    <row r="7" ht="24" customHeight="1">
      <c r="A7" s="151" t="n"/>
      <c r="B7" s="434" t="n"/>
      <c r="C7" s="398" t="n"/>
      <c r="G7" s="397" t="n"/>
      <c r="H7" s="317" t="inlineStr">
        <is>
          <t>Lubricante:</t>
        </is>
      </c>
      <c r="I7" s="436" t="n"/>
      <c r="J7" s="436" t="n"/>
      <c r="K7" s="437" t="n"/>
      <c r="L7" s="330" t="n"/>
      <c r="M7" s="436" t="n"/>
      <c r="N7" s="436" t="n"/>
      <c r="O7" s="436" t="n"/>
      <c r="P7" s="436" t="n"/>
      <c r="Q7" s="436" t="n"/>
      <c r="R7" s="437" t="n"/>
      <c r="S7" s="151" t="n"/>
      <c r="T7" s="141" t="n"/>
      <c r="U7" s="141" t="n"/>
      <c r="V7" s="141" t="n"/>
      <c r="W7" s="152" t="n"/>
      <c r="X7" s="141" t="n"/>
      <c r="Y7" s="141" t="n"/>
      <c r="Z7" s="141" t="n"/>
      <c r="AA7" s="141" t="inlineStr">
        <is>
          <t>15W40</t>
        </is>
      </c>
      <c r="AB7" s="141" t="n"/>
    </row>
    <row r="8" ht="24" customHeight="1" thickBot="1">
      <c r="A8" s="440" t="n"/>
      <c r="B8" s="443" t="n"/>
      <c r="C8" s="409" t="n"/>
      <c r="D8" s="73" t="n"/>
      <c r="E8" s="73" t="n"/>
      <c r="F8" s="73" t="n"/>
      <c r="G8" s="408" t="n"/>
      <c r="H8" s="283" t="inlineStr">
        <is>
          <t xml:space="preserve">Marca del Lubricante: </t>
        </is>
      </c>
      <c r="I8" s="444" t="n"/>
      <c r="J8" s="444" t="n"/>
      <c r="K8" s="445" t="n"/>
      <c r="L8" s="326" t="n"/>
      <c r="M8" s="444" t="n"/>
      <c r="N8" s="444" t="n"/>
      <c r="O8" s="444" t="n"/>
      <c r="P8" s="444" t="n"/>
      <c r="Q8" s="444" t="n"/>
      <c r="R8" s="445" t="n"/>
      <c r="S8" s="440" t="n"/>
      <c r="T8" s="187" t="n"/>
      <c r="U8" s="187" t="n"/>
      <c r="V8" s="187" t="n"/>
      <c r="W8" s="441" t="n"/>
      <c r="X8" s="141" t="n"/>
      <c r="Y8" s="141" t="n"/>
      <c r="Z8" s="141" t="n"/>
      <c r="AA8" s="141" t="inlineStr">
        <is>
          <t>GULF</t>
        </is>
      </c>
      <c r="AB8" s="141" t="n"/>
    </row>
    <row r="9" ht="15.75" customHeight="1">
      <c r="A9" s="142" t="n"/>
      <c r="B9" s="286" t="n"/>
      <c r="C9" s="141" t="n"/>
      <c r="D9" s="141" t="n"/>
      <c r="E9" s="141" t="n"/>
      <c r="F9" s="141" t="n"/>
      <c r="G9" s="141" t="n"/>
      <c r="H9" s="141" t="n"/>
      <c r="I9" s="141" t="n"/>
      <c r="J9" s="141" t="n"/>
      <c r="K9" s="141" t="n"/>
      <c r="L9" s="141" t="n"/>
      <c r="M9" s="141" t="n"/>
      <c r="N9" s="141" t="n"/>
      <c r="O9" s="141" t="n"/>
      <c r="P9" s="286" t="n"/>
      <c r="Q9" s="144" t="n"/>
      <c r="R9" s="145" t="n"/>
      <c r="S9" s="146" t="n"/>
      <c r="T9" s="147" t="n"/>
      <c r="U9" s="147" t="n"/>
      <c r="V9" s="147" t="n"/>
      <c r="W9" s="148" t="n"/>
      <c r="X9" s="141" t="n"/>
      <c r="Y9" s="141" t="n"/>
      <c r="Z9" s="141" t="n"/>
      <c r="AA9" s="141" t="n"/>
      <c r="AB9" s="141" t="n"/>
    </row>
    <row r="10" ht="15.75" customHeight="1">
      <c r="A10" s="142" t="n"/>
      <c r="B10" s="275" t="inlineStr">
        <is>
          <t>INFORMACIÓN DE LA MUESTRA</t>
        </is>
      </c>
      <c r="C10" s="446" t="n"/>
      <c r="D10" s="446" t="n"/>
      <c r="E10" s="446" t="n"/>
      <c r="F10" s="446" t="n"/>
      <c r="G10" s="446" t="n"/>
      <c r="H10" s="446" t="n"/>
      <c r="I10" s="446" t="n"/>
      <c r="J10" s="446" t="n"/>
      <c r="K10" s="446" t="n"/>
      <c r="L10" s="447" t="n"/>
      <c r="M10" s="144" t="n"/>
      <c r="N10" s="144" t="n"/>
      <c r="O10" s="144" t="n"/>
      <c r="P10" s="144" t="n"/>
      <c r="Q10" s="144" t="n"/>
      <c r="R10" s="145" t="n"/>
      <c r="S10" s="146" t="n"/>
      <c r="T10" s="147" t="n"/>
      <c r="U10" s="147" t="n"/>
      <c r="V10" s="147" t="n"/>
      <c r="W10" s="148" t="n"/>
      <c r="X10" s="141" t="n"/>
      <c r="Y10" s="141" t="n"/>
      <c r="Z10" s="141" t="n"/>
      <c r="AA10" s="141" t="n"/>
      <c r="AB10" s="141" t="n"/>
    </row>
    <row r="11" ht="15" customHeight="1">
      <c r="A11" s="142" t="n"/>
      <c r="B11" s="448" t="n"/>
      <c r="C11" s="449" t="n"/>
      <c r="D11" s="449" t="n"/>
      <c r="E11" s="449" t="n"/>
      <c r="F11" s="449" t="n"/>
      <c r="G11" s="449" t="n"/>
      <c r="H11" s="449" t="n"/>
      <c r="I11" s="449" t="n"/>
      <c r="J11" s="449" t="n"/>
      <c r="K11" s="449" t="n"/>
      <c r="L11" s="450" t="n"/>
      <c r="M11" s="149" t="n"/>
      <c r="N11" s="149" t="n"/>
      <c r="O11" s="149" t="n"/>
      <c r="P11" s="149" t="n"/>
      <c r="Q11" s="149" t="n"/>
      <c r="R11" s="150" t="n"/>
      <c r="S11" s="151" t="n"/>
      <c r="T11" s="141" t="n"/>
      <c r="U11" s="141" t="n"/>
      <c r="V11" s="141" t="n"/>
      <c r="W11" s="152" t="n"/>
      <c r="X11" s="141" t="n"/>
      <c r="Y11" s="141" t="n"/>
      <c r="Z11" s="141" t="n"/>
      <c r="AA11" s="141" t="n"/>
      <c r="AB11" s="141" t="n"/>
    </row>
    <row r="12" ht="18" customHeight="1">
      <c r="A12" s="142" t="n"/>
      <c r="B12" s="153" t="inlineStr">
        <is>
          <t>Numeración de Muestra</t>
        </is>
      </c>
      <c r="C12" s="154" t="inlineStr">
        <is>
          <t>MUESTRA-001</t>
        </is>
      </c>
      <c r="D12" s="154" t="n"/>
      <c r="E12" s="154" t="n"/>
      <c r="F12" s="154" t="n"/>
      <c r="G12" s="154" t="n"/>
      <c r="H12" s="154" t="n"/>
      <c r="I12" s="154" t="n"/>
      <c r="J12" s="154" t="n"/>
      <c r="K12" s="154" t="n"/>
      <c r="L12" s="154" t="n"/>
      <c r="R12" s="155" t="n"/>
      <c r="S12" s="151" t="n"/>
      <c r="T12" s="141" t="n"/>
      <c r="U12" s="141" t="n"/>
      <c r="V12" s="141" t="n"/>
      <c r="W12" s="152" t="n"/>
      <c r="X12" s="141" t="n"/>
      <c r="Y12" s="141" t="n"/>
      <c r="Z12" s="141" t="n"/>
      <c r="AA12" s="141" t="n"/>
      <c r="AB12" s="141" t="n"/>
    </row>
    <row r="13" ht="18" customHeight="1">
      <c r="A13" s="142" t="n"/>
      <c r="B13" s="153" t="inlineStr">
        <is>
          <t>Fecha de Muestreo</t>
        </is>
      </c>
      <c r="C13" s="451" t="inlineStr">
        <is>
          <t>2026-03-28</t>
        </is>
      </c>
      <c r="D13" s="451" t="n"/>
      <c r="E13" s="451" t="n"/>
      <c r="F13" s="451" t="n"/>
      <c r="G13" s="451" t="n"/>
      <c r="H13" s="451" t="n"/>
      <c r="I13" s="451" t="n"/>
      <c r="J13" s="451" t="n"/>
      <c r="K13" s="451" t="n"/>
      <c r="L13" s="451" t="n"/>
      <c r="R13" s="155" t="n"/>
      <c r="S13" s="151" t="n"/>
      <c r="T13" s="141" t="n"/>
      <c r="U13" s="141" t="n"/>
      <c r="V13" s="141" t="n"/>
      <c r="W13" s="152" t="n"/>
      <c r="X13" s="141" t="n"/>
      <c r="Y13" s="141" t="n"/>
      <c r="Z13" s="141" t="n"/>
      <c r="AA13" s="141" t="n"/>
      <c r="AB13" s="141" t="n"/>
    </row>
    <row r="14" ht="15.75" customHeight="1">
      <c r="A14" s="142" t="n"/>
      <c r="B14" s="153" t="inlineStr">
        <is>
          <t>Fecha de Ingreso</t>
        </is>
      </c>
      <c r="C14" s="451" t="inlineStr">
        <is>
          <t>2026-03-29</t>
        </is>
      </c>
      <c r="D14" s="451" t="n"/>
      <c r="E14" s="451" t="n"/>
      <c r="F14" s="451" t="n"/>
      <c r="G14" s="451" t="n"/>
      <c r="H14" s="451" t="n"/>
      <c r="I14" s="451" t="n"/>
      <c r="J14" s="451" t="n"/>
      <c r="K14" s="451" t="n"/>
      <c r="L14" s="451" t="n"/>
      <c r="R14" s="155" t="n"/>
      <c r="S14" s="151" t="n"/>
      <c r="T14" s="141" t="n"/>
      <c r="U14" s="141" t="n"/>
      <c r="V14" s="141" t="n"/>
      <c r="W14" s="152" t="n"/>
      <c r="X14" s="141" t="n"/>
      <c r="Y14" s="141" t="n"/>
      <c r="Z14" s="141" t="n"/>
      <c r="AA14" s="141" t="n"/>
      <c r="AB14" s="141" t="n"/>
    </row>
    <row r="15" ht="18" customHeight="1">
      <c r="A15" s="142" t="n"/>
      <c r="B15" s="153" t="inlineStr">
        <is>
          <t>Fecha de Informe</t>
        </is>
      </c>
      <c r="C15" s="451" t="inlineStr">
        <is>
          <t>2026-03-30</t>
        </is>
      </c>
      <c r="D15" s="451" t="n"/>
      <c r="E15" s="451" t="n"/>
      <c r="F15" s="451" t="n"/>
      <c r="G15" s="451" t="n"/>
      <c r="H15" s="451" t="n"/>
      <c r="I15" s="451" t="n"/>
      <c r="J15" s="451" t="n"/>
      <c r="K15" s="451" t="n"/>
      <c r="L15" s="451" t="n"/>
      <c r="R15" s="155" t="n"/>
      <c r="S15" s="151" t="n"/>
      <c r="T15" s="141" t="n"/>
      <c r="U15" s="141" t="n"/>
      <c r="V15" s="141" t="n"/>
      <c r="W15" s="152" t="n"/>
      <c r="X15" s="141" t="n"/>
      <c r="Y15" s="141" t="n"/>
      <c r="Z15" s="141" t="n"/>
      <c r="AA15" s="141" t="n"/>
      <c r="AB15" s="141" t="n"/>
    </row>
    <row r="16" ht="18" customHeight="1">
      <c r="A16" s="142" t="n"/>
      <c r="B16" s="153" t="inlineStr">
        <is>
          <t>Equipo Hrs/ Km</t>
        </is>
      </c>
      <c r="C16" s="154" t="n">
        <v>12000</v>
      </c>
      <c r="D16" s="154" t="n"/>
      <c r="E16" s="154" t="n"/>
      <c r="F16" s="154" t="n"/>
      <c r="G16" s="154" t="n"/>
      <c r="H16" s="154" t="n"/>
      <c r="I16" s="154" t="n"/>
      <c r="J16" s="154" t="n"/>
      <c r="K16" s="154" t="n"/>
      <c r="L16" s="154" t="n"/>
      <c r="R16" s="155" t="n"/>
      <c r="S16" s="151" t="n"/>
      <c r="T16" s="141" t="n"/>
      <c r="U16" s="141" t="n"/>
      <c r="V16" s="141" t="n"/>
      <c r="W16" s="152" t="n"/>
      <c r="X16" s="141" t="n"/>
      <c r="Y16" s="141" t="n"/>
      <c r="Z16" s="141" t="n"/>
      <c r="AA16" s="141" t="n"/>
      <c r="AB16" s="141" t="n"/>
    </row>
    <row r="17" ht="18" customHeight="1">
      <c r="A17" s="142" t="n"/>
      <c r="B17" s="153" t="inlineStr">
        <is>
          <t>Aceite Hrs/ Km</t>
        </is>
      </c>
      <c r="C17" s="154" t="n">
        <v>320</v>
      </c>
      <c r="D17" s="154" t="n"/>
      <c r="E17" s="154" t="n"/>
      <c r="F17" s="154" t="n"/>
      <c r="G17" s="154" t="n"/>
      <c r="H17" s="154" t="n"/>
      <c r="I17" s="154" t="n"/>
      <c r="J17" s="154" t="n"/>
      <c r="K17" s="154" t="n"/>
      <c r="L17" s="154" t="n"/>
      <c r="R17" s="155" t="n"/>
      <c r="S17" s="151" t="n"/>
      <c r="T17" s="141" t="n"/>
      <c r="U17" s="141" t="n"/>
      <c r="V17" s="141" t="n"/>
      <c r="W17" s="152" t="n"/>
      <c r="X17" s="141" t="n"/>
      <c r="Y17" s="141" t="n"/>
      <c r="Z17" s="141" t="n"/>
      <c r="AA17" s="141" t="n"/>
      <c r="AB17" s="141" t="n"/>
    </row>
    <row r="18" ht="18" customHeight="1">
      <c r="A18" s="142" t="n"/>
      <c r="B18" s="153" t="inlineStr">
        <is>
          <t>Condición</t>
        </is>
      </c>
      <c r="C18" s="157" t="inlineStr">
        <is>
          <t>NORMAL</t>
        </is>
      </c>
      <c r="D18" s="157" t="n"/>
      <c r="E18" s="157" t="n"/>
      <c r="F18" s="157" t="n"/>
      <c r="G18" s="157" t="n"/>
      <c r="H18" s="157" t="n"/>
      <c r="I18" s="157" t="n"/>
      <c r="J18" s="157" t="n"/>
      <c r="K18" s="157" t="n"/>
      <c r="L18" s="157" t="n"/>
      <c r="R18" s="155" t="n"/>
      <c r="S18" s="151" t="n"/>
      <c r="T18" s="141" t="n"/>
      <c r="U18" s="141" t="n"/>
      <c r="V18" s="141" t="n"/>
      <c r="W18" s="152" t="n"/>
      <c r="X18" s="141" t="n"/>
      <c r="Y18" s="141" t="n"/>
      <c r="Z18" s="141" t="n"/>
      <c r="AA18" s="141" t="n"/>
      <c r="AB18" s="141" t="n"/>
    </row>
    <row r="19" ht="18" customHeight="1">
      <c r="A19" s="142" t="n"/>
      <c r="B19" s="158" t="n"/>
      <c r="C19" s="158" t="n"/>
      <c r="D19" s="158" t="n"/>
      <c r="E19" s="158" t="n"/>
      <c r="F19" s="158" t="n"/>
      <c r="G19" s="158" t="n"/>
      <c r="H19" s="158" t="n"/>
      <c r="I19" s="158" t="n"/>
      <c r="J19" s="158" t="n"/>
      <c r="K19" s="158" t="n"/>
      <c r="L19" s="158" t="n"/>
      <c r="R19" s="155" t="n"/>
      <c r="S19" s="151" t="n"/>
      <c r="T19" s="141" t="n"/>
      <c r="U19" s="141" t="n"/>
      <c r="V19" s="141" t="n"/>
      <c r="W19" s="152" t="n"/>
      <c r="X19" s="141" t="n"/>
      <c r="Y19" s="141" t="n"/>
      <c r="Z19" s="141" t="n"/>
      <c r="AA19" s="141" t="n"/>
      <c r="AB19" s="141" t="n"/>
    </row>
    <row r="20" ht="18" customHeight="1">
      <c r="A20" s="142" t="n"/>
      <c r="B20" s="275" t="inlineStr">
        <is>
          <t>ESTADO DEL LUBRICANTE</t>
        </is>
      </c>
      <c r="C20" s="446" t="n"/>
      <c r="D20" s="446" t="n"/>
      <c r="E20" s="446" t="n"/>
      <c r="F20" s="446" t="n"/>
      <c r="G20" s="446" t="n"/>
      <c r="H20" s="446" t="n"/>
      <c r="I20" s="446" t="n"/>
      <c r="J20" s="446" t="n"/>
      <c r="K20" s="446" t="n"/>
      <c r="L20" s="447" t="n"/>
      <c r="N20" s="276" t="inlineStr">
        <is>
          <t>* Rangos Generales</t>
        </is>
      </c>
      <c r="O20" s="436" t="n"/>
      <c r="P20" s="436" t="n"/>
      <c r="Q20" s="437" t="n"/>
      <c r="R20" s="155" t="n"/>
      <c r="S20" s="151" t="n"/>
      <c r="T20" s="141" t="n"/>
      <c r="U20" s="141" t="n"/>
      <c r="V20" s="141" t="n"/>
      <c r="W20" s="152" t="n"/>
      <c r="X20" s="141" t="n"/>
      <c r="Y20" s="141" t="n"/>
      <c r="Z20" s="141" t="n"/>
      <c r="AA20" s="141" t="n"/>
      <c r="AB20" s="141" t="n"/>
    </row>
    <row r="21" ht="18" customHeight="1">
      <c r="A21" s="142" t="n"/>
      <c r="B21" s="448" t="n"/>
      <c r="C21" s="449" t="n"/>
      <c r="D21" s="449" t="n"/>
      <c r="E21" s="449" t="n"/>
      <c r="F21" s="449" t="n"/>
      <c r="G21" s="449" t="n"/>
      <c r="H21" s="449" t="n"/>
      <c r="I21" s="449" t="n"/>
      <c r="J21" s="449" t="n"/>
      <c r="K21" s="449" t="n"/>
      <c r="L21" s="450" t="n"/>
      <c r="M21" s="149" t="n"/>
      <c r="N21" s="276" t="inlineStr">
        <is>
          <t>Precaución</t>
        </is>
      </c>
      <c r="O21" s="437" t="n"/>
      <c r="P21" s="276" t="inlineStr">
        <is>
          <t>Anormal</t>
        </is>
      </c>
      <c r="Q21" s="437" t="n"/>
      <c r="R21" s="155" t="n"/>
      <c r="S21" s="151" t="n"/>
      <c r="T21" s="141" t="n"/>
      <c r="U21" s="141" t="n"/>
      <c r="V21" s="141" t="n"/>
      <c r="W21" s="152" t="n"/>
      <c r="X21" s="286" t="n"/>
      <c r="Y21" s="286" t="n"/>
      <c r="Z21" s="286" t="n"/>
      <c r="AA21" s="286" t="n"/>
      <c r="AB21" s="286" t="n"/>
    </row>
    <row r="22" hidden="1" ht="15.75" customHeight="1">
      <c r="A22" s="142" t="n"/>
      <c r="B22" s="153" t="inlineStr">
        <is>
          <t>Viscosidad a 100ºC, cSt</t>
        </is>
      </c>
      <c r="C22" s="452" t="n">
        <v>0</v>
      </c>
      <c r="D22" s="452" t="n"/>
      <c r="E22" s="452" t="n"/>
      <c r="F22" s="452" t="n"/>
      <c r="G22" s="452" t="n"/>
      <c r="H22" s="452" t="n"/>
      <c r="I22" s="452" t="n"/>
      <c r="J22" s="452" t="n"/>
      <c r="K22" s="452" t="n"/>
      <c r="L22" s="452" t="n"/>
      <c r="M22" s="149" t="n"/>
      <c r="N22" s="160" t="n"/>
      <c r="O22" s="453" t="n"/>
      <c r="P22" s="162" t="n"/>
      <c r="Q22" s="453" t="n"/>
      <c r="R22" s="155" t="n"/>
      <c r="S22" s="151" t="n"/>
      <c r="T22" s="141" t="n"/>
      <c r="U22" s="141" t="n"/>
      <c r="V22" s="141" t="n"/>
      <c r="W22" s="152" t="n"/>
      <c r="X22" s="141" t="n"/>
      <c r="Y22" s="141" t="n"/>
      <c r="Z22" s="141" t="n"/>
      <c r="AA22" s="141" t="n"/>
      <c r="AB22" s="141" t="n"/>
    </row>
    <row r="23" ht="15.75" customHeight="1">
      <c r="A23" s="142" t="n"/>
      <c r="B23" s="153" t="inlineStr">
        <is>
          <t>Viscosidad a 40ºC, cSt</t>
        </is>
      </c>
      <c r="C23" s="452" t="n">
        <v>0</v>
      </c>
      <c r="D23" s="452" t="n"/>
      <c r="E23" s="452" t="n"/>
      <c r="F23" s="452" t="n"/>
      <c r="G23" s="452" t="n"/>
      <c r="H23" s="452" t="n"/>
      <c r="I23" s="452" t="n"/>
      <c r="J23" s="452" t="n"/>
      <c r="K23" s="452" t="n"/>
      <c r="L23" s="452" t="n"/>
      <c r="M23" s="149" t="n"/>
      <c r="N23" s="160" t="n"/>
      <c r="O23" s="453" t="n"/>
      <c r="P23" s="162" t="n"/>
      <c r="Q23" s="453" t="n"/>
      <c r="R23" s="155" t="n"/>
      <c r="S23" s="151" t="n"/>
      <c r="T23" s="141" t="n"/>
      <c r="U23" s="141" t="n"/>
      <c r="V23" s="141" t="n"/>
      <c r="W23" s="152" t="n"/>
      <c r="X23" s="141" t="n"/>
      <c r="Y23" s="141" t="n"/>
      <c r="Z23" s="141" t="n"/>
      <c r="AA23" s="141" t="n"/>
      <c r="AB23" s="141" t="n"/>
    </row>
    <row r="24" hidden="1" ht="15.75" customHeight="1">
      <c r="A24" s="142" t="n"/>
      <c r="B24" s="153" t="inlineStr">
        <is>
          <t>Indice de Viscosidad</t>
        </is>
      </c>
      <c r="C24" s="163" t="n">
        <v>0</v>
      </c>
      <c r="D24" s="163" t="n"/>
      <c r="E24" s="163" t="n"/>
      <c r="F24" s="163" t="n"/>
      <c r="G24" s="163" t="n"/>
      <c r="H24" s="163" t="n"/>
      <c r="I24" s="163" t="n"/>
      <c r="J24" s="163" t="n"/>
      <c r="K24" s="163" t="n"/>
      <c r="L24" s="163" t="n"/>
      <c r="M24" s="149" t="n"/>
      <c r="N24" s="164" t="n"/>
      <c r="O24" s="454" t="n"/>
      <c r="P24" s="164" t="n"/>
      <c r="Q24" s="454" t="n"/>
      <c r="R24" s="155" t="n"/>
      <c r="S24" s="151" t="n"/>
      <c r="T24" s="141" t="n"/>
      <c r="U24" s="141" t="n"/>
      <c r="V24" s="141" t="n"/>
      <c r="W24" s="152" t="n"/>
      <c r="X24" s="141" t="n"/>
      <c r="Y24" s="141" t="n"/>
      <c r="Z24" s="141" t="n"/>
      <c r="AA24" s="141" t="n"/>
      <c r="AB24" s="141" t="n"/>
    </row>
    <row r="25" hidden="1" ht="15.75" customHeight="1">
      <c r="A25" s="142" t="n"/>
      <c r="B25" s="153" t="inlineStr">
        <is>
          <t>T.B.N. mgKOH/gr</t>
        </is>
      </c>
      <c r="C25" s="455" t="n">
        <v>0</v>
      </c>
      <c r="D25" s="455" t="n"/>
      <c r="E25" s="455" t="n"/>
      <c r="F25" s="455" t="n"/>
      <c r="G25" s="455" t="n"/>
      <c r="H25" s="455" t="n"/>
      <c r="I25" s="455" t="n"/>
      <c r="J25" s="455" t="n"/>
      <c r="K25" s="455" t="n"/>
      <c r="L25" s="455" t="n"/>
      <c r="M25" s="167" t="n"/>
      <c r="N25" s="276" t="inlineStr">
        <is>
          <t>[50% TBN -1]</t>
        </is>
      </c>
      <c r="O25" s="436" t="n"/>
      <c r="P25" s="436" t="n"/>
      <c r="Q25" s="437" t="n"/>
      <c r="R25" s="155" t="n"/>
      <c r="S25" s="151" t="n"/>
      <c r="T25" s="141" t="n"/>
      <c r="U25" s="141" t="n"/>
      <c r="V25" s="141" t="n"/>
      <c r="W25" s="152" t="n"/>
    </row>
    <row r="26" ht="18" customHeight="1">
      <c r="A26" s="142" t="n"/>
      <c r="B26" s="153" t="inlineStr">
        <is>
          <t>Humedad</t>
        </is>
      </c>
      <c r="C26" s="154" t="inlineStr">
        <is>
          <t>NEGATIVO</t>
        </is>
      </c>
      <c r="D26" s="154" t="n"/>
      <c r="E26" s="154" t="n"/>
      <c r="F26" s="154" t="n"/>
      <c r="G26" s="154" t="n"/>
      <c r="H26" s="154" t="n"/>
      <c r="I26" s="154" t="n"/>
      <c r="J26" s="154" t="n"/>
      <c r="K26" s="154" t="n"/>
      <c r="L26" s="154" t="n"/>
      <c r="M26" s="149" t="n"/>
      <c r="N26" s="164" t="n"/>
      <c r="O26" s="454" t="n"/>
      <c r="P26" s="290" t="inlineStr">
        <is>
          <t>POSITIVO</t>
        </is>
      </c>
      <c r="Q26" s="437" t="n"/>
      <c r="R26" s="155" t="n"/>
      <c r="S26" s="151" t="n"/>
      <c r="T26" s="141" t="n"/>
      <c r="U26" s="141" t="n"/>
      <c r="V26" s="141" t="n"/>
      <c r="W26" s="152" t="n"/>
      <c r="X26" s="141" t="n"/>
      <c r="Y26" s="141" t="n"/>
      <c r="Z26" s="141" t="n"/>
      <c r="AA26" s="141" t="n"/>
    </row>
    <row r="27" hidden="1" ht="15.75" customHeight="1">
      <c r="A27" s="142" t="n"/>
      <c r="B27" s="153" t="inlineStr">
        <is>
          <t>Glycol,  Abs/cm</t>
        </is>
      </c>
      <c r="C27" s="154" t="n">
        <v>0</v>
      </c>
      <c r="D27" s="154" t="n"/>
      <c r="E27" s="154" t="n"/>
      <c r="F27" s="154" t="n"/>
      <c r="G27" s="154" t="n"/>
      <c r="H27" s="154" t="n"/>
      <c r="I27" s="154" t="n"/>
      <c r="J27" s="154" t="n"/>
      <c r="K27" s="154" t="n"/>
      <c r="L27" s="154" t="n"/>
      <c r="M27" s="149" t="n"/>
      <c r="N27" s="168" t="n"/>
      <c r="O27" s="169" t="n"/>
      <c r="P27" s="168" t="n"/>
      <c r="Q27" s="170" t="n"/>
      <c r="R27" s="155" t="n"/>
      <c r="S27" s="151" t="n"/>
      <c r="T27" s="141" t="n"/>
      <c r="U27" s="141" t="n"/>
      <c r="V27" s="141" t="n"/>
      <c r="W27" s="152" t="n"/>
      <c r="X27" s="141" t="n"/>
      <c r="Y27" s="141" t="n"/>
      <c r="Z27" s="141" t="n"/>
    </row>
    <row r="28" hidden="1" ht="15.75" customFormat="1" customHeight="1" s="173">
      <c r="A28" s="171" t="n"/>
      <c r="B28" s="153" t="inlineStr">
        <is>
          <t>Combustible</t>
        </is>
      </c>
      <c r="C28" s="154" t="inlineStr">
        <is>
          <t>NEGATIVO</t>
        </is>
      </c>
      <c r="D28" s="154" t="n"/>
      <c r="E28" s="154" t="n"/>
      <c r="F28" s="154" t="n"/>
      <c r="G28" s="154" t="n"/>
      <c r="H28" s="154" t="n"/>
      <c r="I28" s="154" t="n"/>
      <c r="J28" s="154" t="n"/>
      <c r="K28" s="154" t="n"/>
      <c r="L28" s="154" t="n"/>
      <c r="M28" s="167" t="n"/>
      <c r="N28" s="164" t="n"/>
      <c r="O28" s="454" t="n"/>
      <c r="P28" s="290" t="inlineStr">
        <is>
          <t>POSITIVO</t>
        </is>
      </c>
      <c r="Q28" s="437" t="n"/>
      <c r="R28" s="172" t="n"/>
      <c r="S28" s="151" t="n"/>
      <c r="T28" s="141" t="n"/>
      <c r="U28" s="141" t="n"/>
      <c r="V28" s="141" t="n"/>
      <c r="W28" s="152" t="n"/>
      <c r="X28" s="141" t="n"/>
      <c r="Y28" s="141" t="n"/>
      <c r="Z28" s="141" t="n"/>
      <c r="AA28" s="141" t="n"/>
    </row>
    <row r="29" ht="18" customHeight="1">
      <c r="A29" s="142" t="n"/>
      <c r="B29" s="158" t="n"/>
      <c r="C29" s="158" t="n"/>
      <c r="D29" s="158" t="n"/>
      <c r="E29" s="158" t="n"/>
      <c r="F29" s="158" t="n"/>
      <c r="G29" s="158" t="n"/>
      <c r="H29" s="158" t="n"/>
      <c r="I29" s="158" t="n"/>
      <c r="J29" s="158" t="n"/>
      <c r="K29" s="158" t="n"/>
      <c r="L29" s="158" t="n"/>
      <c r="N29" s="174" t="n"/>
      <c r="O29" s="175" t="n"/>
      <c r="P29" s="175" t="n"/>
      <c r="Q29" s="175" t="n"/>
      <c r="R29" s="155" t="n"/>
      <c r="S29" s="151" t="n"/>
      <c r="T29" s="141" t="n"/>
      <c r="U29" s="141" t="n"/>
      <c r="V29" s="141" t="n"/>
      <c r="W29" s="152" t="n"/>
    </row>
    <row r="30" ht="18" customHeight="1">
      <c r="A30" s="142" t="n"/>
      <c r="B30" s="275" t="inlineStr">
        <is>
          <t>DEGRADACIÓN QUÍMICA</t>
        </is>
      </c>
      <c r="C30" s="446" t="n"/>
      <c r="D30" s="446" t="n"/>
      <c r="E30" s="446" t="n"/>
      <c r="F30" s="446" t="n"/>
      <c r="G30" s="446" t="n"/>
      <c r="H30" s="446" t="n"/>
      <c r="I30" s="446" t="n"/>
      <c r="J30" s="446" t="n"/>
      <c r="K30" s="446" t="n"/>
      <c r="L30" s="447" t="n"/>
      <c r="N30" s="276" t="inlineStr">
        <is>
          <t>* Rangos Generales</t>
        </is>
      </c>
      <c r="O30" s="436" t="n"/>
      <c r="P30" s="436" t="n"/>
      <c r="Q30" s="437" t="n"/>
      <c r="R30" s="155" t="n"/>
      <c r="S30" s="151" t="n"/>
      <c r="T30" s="141" t="n"/>
      <c r="U30" s="141" t="n"/>
      <c r="V30" s="141" t="n"/>
      <c r="W30" s="152" t="n"/>
    </row>
    <row r="31" ht="18" customHeight="1">
      <c r="A31" s="142" t="n"/>
      <c r="B31" s="448" t="n"/>
      <c r="C31" s="449" t="n"/>
      <c r="D31" s="449" t="n"/>
      <c r="E31" s="449" t="n"/>
      <c r="F31" s="449" t="n"/>
      <c r="G31" s="449" t="n"/>
      <c r="H31" s="449" t="n"/>
      <c r="I31" s="449" t="n"/>
      <c r="J31" s="449" t="n"/>
      <c r="K31" s="449" t="n"/>
      <c r="L31" s="450" t="n"/>
      <c r="M31" s="149" t="n"/>
      <c r="N31" s="276" t="inlineStr">
        <is>
          <t>Precaución</t>
        </is>
      </c>
      <c r="O31" s="437" t="n"/>
      <c r="P31" s="276" t="inlineStr">
        <is>
          <t>Anormal</t>
        </is>
      </c>
      <c r="Q31" s="437" t="n"/>
      <c r="R31" s="155" t="n"/>
      <c r="S31" s="151" t="n"/>
      <c r="T31" s="141" t="n"/>
      <c r="U31" s="141" t="n"/>
      <c r="V31" s="141" t="n"/>
      <c r="W31" s="152" t="n"/>
      <c r="X31" s="286" t="n"/>
      <c r="Y31" s="286" t="n"/>
      <c r="Z31" s="286" t="n"/>
      <c r="AA31" s="286" t="n"/>
      <c r="AB31" s="286" t="n"/>
    </row>
    <row r="32" ht="18" customHeight="1">
      <c r="A32" s="142" t="n"/>
      <c r="B32" s="153" t="inlineStr">
        <is>
          <t>Oxidación, Abs/cm</t>
        </is>
      </c>
      <c r="C32" s="456" t="n">
        <v>0</v>
      </c>
      <c r="D32" s="456" t="n"/>
      <c r="E32" s="456" t="n"/>
      <c r="F32" s="456" t="n"/>
      <c r="G32" s="456" t="n"/>
      <c r="H32" s="456" t="n"/>
      <c r="I32" s="456" t="n"/>
      <c r="J32" s="456" t="n"/>
      <c r="K32" s="456" t="n"/>
      <c r="L32" s="456" t="n"/>
      <c r="M32" s="149" t="n"/>
      <c r="N32" s="164" t="n"/>
      <c r="O32" s="177" t="n"/>
      <c r="P32" s="164" t="n"/>
      <c r="Q32" s="177" t="n"/>
      <c r="R32" s="155" t="n"/>
      <c r="S32" s="151" t="n"/>
      <c r="T32" s="141" t="n"/>
      <c r="U32" s="141" t="n"/>
      <c r="V32" s="141" t="n"/>
      <c r="W32" s="152" t="n"/>
      <c r="X32" s="141" t="n"/>
      <c r="Y32" s="141" t="n"/>
      <c r="Z32" s="141" t="n"/>
    </row>
    <row r="33" hidden="1" ht="15.75" customHeight="1">
      <c r="A33" s="142" t="n"/>
      <c r="B33" s="153" t="inlineStr">
        <is>
          <t>Nitración, Abs/cm</t>
        </is>
      </c>
      <c r="C33" s="423" t="n">
        <v>0</v>
      </c>
      <c r="D33" s="423" t="n"/>
      <c r="E33" s="423" t="n"/>
      <c r="F33" s="423" t="n"/>
      <c r="G33" s="423" t="n"/>
      <c r="H33" s="423" t="n"/>
      <c r="I33" s="423" t="n"/>
      <c r="J33" s="423" t="n"/>
      <c r="K33" s="423" t="n"/>
      <c r="L33" s="423" t="n"/>
      <c r="M33" s="149" t="n"/>
      <c r="N33" s="164" t="n"/>
      <c r="O33" s="177" t="n"/>
      <c r="P33" s="164" t="n"/>
      <c r="Q33" s="177" t="n"/>
      <c r="R33" s="155" t="n"/>
      <c r="S33" s="151" t="n"/>
      <c r="T33" s="141" t="n"/>
      <c r="U33" s="141" t="n"/>
      <c r="V33" s="141" t="n"/>
      <c r="W33" s="152" t="n"/>
    </row>
    <row r="34" hidden="1" ht="15.75" customHeight="1">
      <c r="A34" s="142" t="n"/>
      <c r="B34" s="153" t="inlineStr">
        <is>
          <t>Sulfatación, Abs/cm</t>
        </is>
      </c>
      <c r="C34" s="423" t="n">
        <v>0</v>
      </c>
      <c r="D34" s="423" t="n"/>
      <c r="E34" s="423" t="n"/>
      <c r="F34" s="423" t="n"/>
      <c r="G34" s="423" t="n"/>
      <c r="H34" s="423" t="n"/>
      <c r="I34" s="423" t="n"/>
      <c r="J34" s="423" t="n"/>
      <c r="K34" s="423" t="n"/>
      <c r="L34" s="423" t="n"/>
      <c r="M34" s="149" t="n"/>
      <c r="N34" s="164" t="n"/>
      <c r="O34" s="177" t="n"/>
      <c r="P34" s="164" t="n"/>
      <c r="Q34" s="177" t="n"/>
      <c r="R34" s="155" t="n"/>
      <c r="S34" s="151" t="n"/>
      <c r="T34" s="141" t="n"/>
      <c r="U34" s="141" t="n"/>
      <c r="V34" s="141" t="n"/>
      <c r="W34" s="152" t="n"/>
    </row>
    <row r="35" hidden="1" ht="15.75" customHeight="1">
      <c r="A35" s="142" t="n"/>
      <c r="B35" s="153" t="inlineStr">
        <is>
          <t>Hollín, wt%</t>
        </is>
      </c>
      <c r="C35" s="423" t="n">
        <v>0</v>
      </c>
      <c r="D35" s="423" t="n"/>
      <c r="E35" s="423" t="n"/>
      <c r="F35" s="423" t="n"/>
      <c r="G35" s="423" t="n"/>
      <c r="H35" s="423" t="n"/>
      <c r="I35" s="423" t="n"/>
      <c r="J35" s="423" t="n"/>
      <c r="K35" s="423" t="n"/>
      <c r="L35" s="423" t="n"/>
      <c r="M35" s="149" t="n"/>
      <c r="N35" s="164" t="n"/>
      <c r="O35" s="178" t="n"/>
      <c r="P35" s="164" t="n"/>
      <c r="Q35" s="177" t="n"/>
      <c r="R35" s="155" t="n"/>
      <c r="S35" s="151" t="n"/>
      <c r="T35" s="141" t="n"/>
      <c r="U35" s="141" t="n"/>
      <c r="V35" s="141" t="n"/>
      <c r="W35" s="152" t="n"/>
    </row>
    <row r="36" ht="18" customHeight="1">
      <c r="A36" s="142" t="n"/>
      <c r="B36" s="158" t="n"/>
      <c r="C36" s="158" t="n"/>
      <c r="D36" s="158" t="n"/>
      <c r="E36" s="158" t="n"/>
      <c r="F36" s="158" t="n"/>
      <c r="G36" s="158" t="n"/>
      <c r="H36" s="158" t="n"/>
      <c r="I36" s="158" t="n"/>
      <c r="J36" s="158" t="n"/>
      <c r="K36" s="158" t="n"/>
      <c r="L36" s="158" t="n"/>
      <c r="N36" s="174" t="n"/>
      <c r="O36" s="175" t="n"/>
      <c r="P36" s="175" t="n"/>
      <c r="Q36" s="175" t="n"/>
      <c r="R36" s="155" t="n"/>
      <c r="S36" s="151" t="n"/>
      <c r="T36" s="141" t="n"/>
      <c r="U36" s="141" t="n"/>
      <c r="V36" s="141" t="n"/>
      <c r="W36" s="152" t="n"/>
      <c r="X36" s="141" t="n"/>
      <c r="Y36" s="141" t="n"/>
      <c r="Z36" s="141" t="n"/>
      <c r="AA36" s="141" t="n"/>
    </row>
    <row r="37" ht="18" customHeight="1">
      <c r="A37" s="142" t="n"/>
      <c r="B37" s="275" t="inlineStr">
        <is>
          <t>CONTAMINACIÓN DEL LUBRICANTE - PPM (mg/kg)</t>
        </is>
      </c>
      <c r="C37" s="446" t="n"/>
      <c r="D37" s="446" t="n"/>
      <c r="E37" s="446" t="n"/>
      <c r="F37" s="446" t="n"/>
      <c r="G37" s="446" t="n"/>
      <c r="H37" s="446" t="n"/>
      <c r="I37" s="446" t="n"/>
      <c r="J37" s="446" t="n"/>
      <c r="K37" s="446" t="n"/>
      <c r="L37" s="447" t="n"/>
      <c r="N37" s="276" t="inlineStr">
        <is>
          <t>* Rangos Generales</t>
        </is>
      </c>
      <c r="O37" s="436" t="n"/>
      <c r="P37" s="436" t="n"/>
      <c r="Q37" s="437" t="n"/>
      <c r="R37" s="155" t="n"/>
      <c r="S37" s="151" t="n"/>
      <c r="T37" s="141" t="n"/>
      <c r="U37" s="141" t="n"/>
      <c r="V37" s="141" t="n"/>
      <c r="W37" s="152" t="n"/>
      <c r="X37" s="141" t="n"/>
      <c r="Y37" s="141" t="n"/>
      <c r="Z37" s="141" t="n"/>
      <c r="AA37" s="141" t="n"/>
    </row>
    <row r="38" ht="18" customHeight="1">
      <c r="A38" s="142" t="n"/>
      <c r="B38" s="448" t="n"/>
      <c r="C38" s="449" t="n"/>
      <c r="D38" s="449" t="n"/>
      <c r="E38" s="449" t="n"/>
      <c r="F38" s="449" t="n"/>
      <c r="G38" s="449" t="n"/>
      <c r="H38" s="449" t="n"/>
      <c r="I38" s="449" t="n"/>
      <c r="J38" s="449" t="n"/>
      <c r="K38" s="449" t="n"/>
      <c r="L38" s="450" t="n"/>
      <c r="M38" s="149" t="n"/>
      <c r="N38" s="276" t="inlineStr">
        <is>
          <t>Precaución</t>
        </is>
      </c>
      <c r="O38" s="437" t="n"/>
      <c r="P38" s="276" t="inlineStr">
        <is>
          <t>Anormal</t>
        </is>
      </c>
      <c r="Q38" s="437" t="n"/>
      <c r="R38" s="179" t="n"/>
      <c r="S38" s="151" t="n"/>
      <c r="T38" s="141" t="n"/>
      <c r="U38" s="141" t="n"/>
      <c r="V38" s="141" t="n"/>
      <c r="W38" s="152" t="n"/>
      <c r="X38" s="141" t="n"/>
      <c r="Y38" s="141" t="n"/>
      <c r="Z38" s="141" t="n"/>
      <c r="AA38" s="141" t="n"/>
    </row>
    <row r="39" ht="18" customHeight="1">
      <c r="A39" s="142" t="n"/>
      <c r="B39" s="153" t="inlineStr">
        <is>
          <t>Si (Silicio)</t>
        </is>
      </c>
      <c r="C39" s="154" t="n">
        <v>0</v>
      </c>
      <c r="D39" s="154" t="n"/>
      <c r="E39" s="154" t="n"/>
      <c r="F39" s="154" t="n"/>
      <c r="G39" s="154" t="n"/>
      <c r="H39" s="154" t="n"/>
      <c r="I39" s="154" t="n"/>
      <c r="J39" s="154" t="n"/>
      <c r="K39" s="154" t="n"/>
      <c r="L39" s="154" t="n"/>
      <c r="M39" s="149" t="n"/>
      <c r="N39" s="164" t="n"/>
      <c r="O39" s="177" t="n"/>
      <c r="P39" s="164" t="n"/>
      <c r="Q39" s="177" t="n"/>
      <c r="R39" s="155" t="n"/>
      <c r="S39" s="151" t="n"/>
      <c r="T39" s="141" t="n"/>
      <c r="U39" s="141" t="n"/>
      <c r="V39" s="141" t="n"/>
      <c r="W39" s="152" t="n"/>
      <c r="X39" s="141" t="n"/>
      <c r="Y39" s="141" t="n"/>
      <c r="Z39" s="141" t="n"/>
      <c r="AA39" s="141" t="n"/>
    </row>
    <row r="40" ht="18" customHeight="1">
      <c r="A40" s="142" t="n"/>
      <c r="B40" s="153" t="inlineStr">
        <is>
          <t>Na (Sodio)</t>
        </is>
      </c>
      <c r="C40" s="154" t="n">
        <v>0</v>
      </c>
      <c r="D40" s="154" t="n"/>
      <c r="E40" s="154" t="n"/>
      <c r="F40" s="154" t="n"/>
      <c r="G40" s="154" t="n"/>
      <c r="H40" s="154" t="n"/>
      <c r="I40" s="154" t="n"/>
      <c r="J40" s="154" t="n"/>
      <c r="K40" s="154" t="n"/>
      <c r="L40" s="154" t="n"/>
      <c r="M40" s="149" t="n"/>
      <c r="N40" s="164" t="n"/>
      <c r="O40" s="177" t="n"/>
      <c r="P40" s="164" t="n"/>
      <c r="Q40" s="177" t="n"/>
      <c r="R40" s="155" t="n"/>
      <c r="S40" s="151" t="n"/>
      <c r="T40" s="141" t="n"/>
      <c r="U40" s="141" t="n"/>
      <c r="V40" s="141" t="n"/>
      <c r="W40" s="152" t="n"/>
      <c r="X40" s="141" t="n"/>
      <c r="Y40" s="141" t="n"/>
      <c r="Z40" s="141" t="n"/>
      <c r="AA40" s="141" t="n"/>
    </row>
    <row r="41" ht="18" customHeight="1">
      <c r="A41" s="142" t="n"/>
      <c r="B41" s="153" t="inlineStr">
        <is>
          <t>Vanadio (V)</t>
        </is>
      </c>
      <c r="C41" s="154" t="n">
        <v>0</v>
      </c>
      <c r="D41" s="154" t="n"/>
      <c r="E41" s="154" t="n"/>
      <c r="F41" s="154" t="n"/>
      <c r="G41" s="154" t="n"/>
      <c r="H41" s="154" t="n"/>
      <c r="I41" s="154" t="n"/>
      <c r="J41" s="154" t="n"/>
      <c r="K41" s="154" t="n"/>
      <c r="L41" s="154" t="n"/>
      <c r="M41" s="149" t="n"/>
      <c r="N41" s="164" t="n"/>
      <c r="O41" s="177" t="n"/>
      <c r="P41" s="164" t="n"/>
      <c r="Q41" s="177" t="n"/>
      <c r="R41" s="155" t="n"/>
      <c r="S41" s="151" t="n"/>
      <c r="T41" s="141" t="n"/>
      <c r="U41" s="141" t="n"/>
      <c r="V41" s="141" t="n"/>
      <c r="W41" s="152" t="n"/>
      <c r="X41" s="141" t="n"/>
      <c r="Y41" s="141" t="n"/>
      <c r="Z41" s="141" t="n"/>
      <c r="AA41" s="141" t="n"/>
    </row>
    <row r="42" ht="18" customFormat="1" customHeight="1" s="173">
      <c r="A42" s="171" t="n"/>
      <c r="B42" s="153" t="inlineStr">
        <is>
          <t>Ni (Niquel)</t>
        </is>
      </c>
      <c r="C42" s="154" t="n">
        <v>0</v>
      </c>
      <c r="D42" s="154" t="n"/>
      <c r="E42" s="154" t="n"/>
      <c r="F42" s="154" t="n"/>
      <c r="G42" s="154" t="n"/>
      <c r="H42" s="154" t="n"/>
      <c r="I42" s="154" t="n"/>
      <c r="J42" s="154" t="n"/>
      <c r="K42" s="154" t="n"/>
      <c r="L42" s="154" t="n"/>
      <c r="M42" s="140" t="n"/>
      <c r="N42" s="164" t="n"/>
      <c r="O42" s="178" t="n"/>
      <c r="P42" s="164" t="n"/>
      <c r="Q42" s="178" t="n"/>
      <c r="R42" s="172" t="n"/>
      <c r="S42" s="151" t="n"/>
      <c r="T42" s="141" t="n"/>
      <c r="U42" s="141" t="n"/>
      <c r="V42" s="141" t="n"/>
      <c r="W42" s="152" t="n"/>
      <c r="X42" s="141" t="n"/>
      <c r="Y42" s="141" t="n"/>
      <c r="Z42" s="141" t="n"/>
      <c r="AA42" s="141" t="n"/>
    </row>
    <row r="43" ht="18" customFormat="1" customHeight="1" s="173">
      <c r="A43" s="171" t="n"/>
      <c r="B43" s="158" t="n"/>
      <c r="C43" s="158" t="n"/>
      <c r="D43" s="158" t="n"/>
      <c r="E43" s="158" t="n"/>
      <c r="F43" s="158" t="n"/>
      <c r="G43" s="158" t="n"/>
      <c r="H43" s="158" t="n"/>
      <c r="I43" s="158" t="n"/>
      <c r="J43" s="158" t="n"/>
      <c r="K43" s="158" t="n"/>
      <c r="L43" s="158" t="n"/>
      <c r="M43" s="141" t="n"/>
      <c r="N43" s="180" t="n"/>
      <c r="O43" s="180" t="n"/>
      <c r="P43" s="180" t="n"/>
      <c r="Q43" s="180" t="n"/>
      <c r="R43" s="172" t="n"/>
      <c r="S43" s="151" t="n"/>
      <c r="T43" s="141" t="n"/>
      <c r="U43" s="141" t="n"/>
      <c r="V43" s="141" t="n"/>
      <c r="W43" s="152" t="n"/>
      <c r="X43" s="141" t="n"/>
      <c r="Y43" s="141" t="n"/>
      <c r="Z43" s="141" t="n"/>
      <c r="AA43" s="141" t="n"/>
    </row>
    <row r="44" ht="18" customHeight="1">
      <c r="A44" s="142" t="n"/>
      <c r="B44" s="275" t="inlineStr">
        <is>
          <t>DESGATE DEL EQUIPO  - PPM (mg/kg)</t>
        </is>
      </c>
      <c r="C44" s="446" t="n"/>
      <c r="D44" s="446" t="n"/>
      <c r="E44" s="446" t="n"/>
      <c r="F44" s="446" t="n"/>
      <c r="G44" s="446" t="n"/>
      <c r="H44" s="446" t="n"/>
      <c r="I44" s="446" t="n"/>
      <c r="J44" s="446" t="n"/>
      <c r="K44" s="446" t="n"/>
      <c r="L44" s="447" t="n"/>
      <c r="N44" s="276" t="inlineStr">
        <is>
          <t>* Rangos Generales</t>
        </is>
      </c>
      <c r="O44" s="436" t="n"/>
      <c r="P44" s="436" t="n"/>
      <c r="Q44" s="437" t="n"/>
      <c r="R44" s="155" t="n"/>
      <c r="S44" s="151" t="n"/>
      <c r="T44" s="141" t="n"/>
      <c r="U44" s="141" t="n"/>
      <c r="V44" s="141" t="n"/>
      <c r="W44" s="152" t="n"/>
      <c r="X44" s="141" t="n"/>
      <c r="Y44" s="141" t="n"/>
      <c r="Z44" s="141" t="n"/>
      <c r="AA44" s="141" t="n"/>
    </row>
    <row r="45" ht="18" customHeight="1">
      <c r="A45" s="142" t="n"/>
      <c r="B45" s="448" t="n"/>
      <c r="C45" s="449" t="n"/>
      <c r="D45" s="449" t="n"/>
      <c r="E45" s="449" t="n"/>
      <c r="F45" s="449" t="n"/>
      <c r="G45" s="449" t="n"/>
      <c r="H45" s="449" t="n"/>
      <c r="I45" s="449" t="n"/>
      <c r="J45" s="449" t="n"/>
      <c r="K45" s="449" t="n"/>
      <c r="L45" s="450" t="n"/>
      <c r="M45" s="149" t="n"/>
      <c r="N45" s="276" t="inlineStr">
        <is>
          <t>Precaución</t>
        </is>
      </c>
      <c r="O45" s="437" t="n"/>
      <c r="P45" s="276" t="inlineStr">
        <is>
          <t>Anormal</t>
        </is>
      </c>
      <c r="Q45" s="437" t="n"/>
      <c r="R45" s="181" t="n"/>
      <c r="S45" s="151" t="n"/>
      <c r="T45" s="141" t="n"/>
      <c r="U45" s="141" t="n"/>
      <c r="V45" s="141" t="n"/>
      <c r="W45" s="152" t="n"/>
      <c r="X45" s="141" t="n"/>
      <c r="Y45" s="141" t="n"/>
      <c r="Z45" s="141" t="n"/>
      <c r="AA45" s="141" t="n"/>
    </row>
    <row r="46" ht="18" customHeight="1">
      <c r="A46" s="142" t="n"/>
      <c r="B46" s="153" t="inlineStr">
        <is>
          <t>Fe (Hierro)</t>
        </is>
      </c>
      <c r="C46" s="154" t="n">
        <v>0</v>
      </c>
      <c r="D46" s="154" t="n"/>
      <c r="E46" s="154" t="n"/>
      <c r="F46" s="154" t="n"/>
      <c r="G46" s="154" t="n"/>
      <c r="H46" s="154" t="n"/>
      <c r="I46" s="154" t="n"/>
      <c r="J46" s="154" t="n"/>
      <c r="K46" s="154" t="n"/>
      <c r="L46" s="154" t="n"/>
      <c r="M46" s="149" t="n"/>
      <c r="N46" s="164" t="n"/>
      <c r="O46" s="177" t="n"/>
      <c r="P46" s="164" t="n"/>
      <c r="Q46" s="177" t="n"/>
      <c r="R46" s="155" t="n"/>
      <c r="S46" s="151" t="n"/>
      <c r="T46" s="141" t="n"/>
      <c r="U46" s="141" t="n"/>
      <c r="V46" s="141" t="n"/>
      <c r="W46" s="152" t="n"/>
      <c r="X46" s="141" t="n"/>
      <c r="Y46" s="141" t="n"/>
      <c r="Z46" s="141" t="n"/>
      <c r="AA46" s="141" t="n"/>
    </row>
    <row r="47" ht="18" customHeight="1">
      <c r="A47" s="142" t="n"/>
      <c r="B47" s="153" t="inlineStr">
        <is>
          <t>Cr (Cromo)</t>
        </is>
      </c>
      <c r="C47" s="154" t="n">
        <v>0</v>
      </c>
      <c r="D47" s="154" t="n"/>
      <c r="E47" s="154" t="n"/>
      <c r="F47" s="154" t="n"/>
      <c r="G47" s="154" t="n"/>
      <c r="H47" s="154" t="n"/>
      <c r="I47" s="154" t="n"/>
      <c r="J47" s="154" t="n"/>
      <c r="K47" s="154" t="n"/>
      <c r="L47" s="154" t="n"/>
      <c r="M47" s="149" t="n"/>
      <c r="N47" s="164" t="n"/>
      <c r="O47" s="177" t="n"/>
      <c r="P47" s="164" t="n"/>
      <c r="Q47" s="177" t="n"/>
      <c r="R47" s="155" t="n"/>
      <c r="S47" s="151" t="n"/>
      <c r="T47" s="141" t="n"/>
      <c r="U47" s="141" t="n"/>
      <c r="V47" s="141" t="n"/>
      <c r="W47" s="152" t="n"/>
      <c r="X47" s="141" t="n"/>
      <c r="Y47" s="141" t="n"/>
      <c r="Z47" s="141" t="n"/>
      <c r="AA47" s="141" t="n"/>
    </row>
    <row r="48" ht="18" customHeight="1">
      <c r="A48" s="142" t="n"/>
      <c r="B48" s="153" t="inlineStr">
        <is>
          <t>Al (Aluminio)</t>
        </is>
      </c>
      <c r="C48" s="154" t="n">
        <v>0</v>
      </c>
      <c r="D48" s="154" t="n"/>
      <c r="E48" s="154" t="n"/>
      <c r="F48" s="154" t="n"/>
      <c r="G48" s="154" t="n"/>
      <c r="H48" s="154" t="n"/>
      <c r="I48" s="154" t="n"/>
      <c r="J48" s="154" t="n"/>
      <c r="K48" s="154" t="n"/>
      <c r="L48" s="154" t="n"/>
      <c r="M48" s="149" t="n"/>
      <c r="N48" s="164" t="n"/>
      <c r="O48" s="177" t="n"/>
      <c r="P48" s="164" t="n"/>
      <c r="Q48" s="177" t="n"/>
      <c r="R48" s="155" t="n"/>
      <c r="S48" s="151" t="n"/>
      <c r="T48" s="141" t="n"/>
      <c r="U48" s="141" t="n"/>
      <c r="V48" s="141" t="n"/>
      <c r="W48" s="152" t="n"/>
      <c r="X48" s="141" t="n"/>
      <c r="Y48" s="141" t="n"/>
      <c r="Z48" s="141" t="n"/>
      <c r="AA48" s="141" t="n"/>
    </row>
    <row r="49" ht="18" customHeight="1">
      <c r="A49" s="142" t="n"/>
      <c r="B49" s="153" t="inlineStr">
        <is>
          <t>Cu (Cobre)</t>
        </is>
      </c>
      <c r="C49" s="154" t="n">
        <v>0</v>
      </c>
      <c r="D49" s="154" t="n"/>
      <c r="E49" s="154" t="n"/>
      <c r="F49" s="154" t="n"/>
      <c r="G49" s="154" t="n"/>
      <c r="H49" s="154" t="n"/>
      <c r="I49" s="154" t="n"/>
      <c r="J49" s="154" t="n"/>
      <c r="K49" s="154" t="n"/>
      <c r="L49" s="154" t="n"/>
      <c r="M49" s="167" t="n"/>
      <c r="N49" s="164" t="n"/>
      <c r="O49" s="177" t="n"/>
      <c r="P49" s="164" t="n"/>
      <c r="Q49" s="177" t="n"/>
      <c r="R49" s="155" t="n"/>
      <c r="S49" s="151" t="n"/>
      <c r="T49" s="141" t="n"/>
      <c r="U49" s="141" t="n"/>
      <c r="V49" s="141" t="n"/>
      <c r="W49" s="152" t="n"/>
      <c r="X49" s="141" t="n"/>
      <c r="Y49" s="141" t="n"/>
      <c r="Z49" s="141" t="n"/>
      <c r="AA49" s="141" t="n"/>
    </row>
    <row r="50" ht="18" customHeight="1">
      <c r="A50" s="142" t="n"/>
      <c r="B50" s="153" t="inlineStr">
        <is>
          <t>Pb (Plomo)</t>
        </is>
      </c>
      <c r="C50" s="154" t="n">
        <v>0</v>
      </c>
      <c r="D50" s="154" t="n"/>
      <c r="E50" s="154" t="n"/>
      <c r="F50" s="154" t="n"/>
      <c r="G50" s="154" t="n"/>
      <c r="H50" s="154" t="n"/>
      <c r="I50" s="154" t="n"/>
      <c r="J50" s="154" t="n"/>
      <c r="K50" s="154" t="n"/>
      <c r="L50" s="154" t="n"/>
      <c r="M50" s="149" t="n"/>
      <c r="N50" s="164" t="n"/>
      <c r="O50" s="177" t="n"/>
      <c r="P50" s="164" t="n"/>
      <c r="Q50" s="177" t="n"/>
      <c r="R50" s="155" t="n"/>
      <c r="S50" s="151" t="n"/>
      <c r="T50" s="141" t="n"/>
      <c r="U50" s="141" t="n"/>
      <c r="V50" s="141" t="n"/>
      <c r="W50" s="152" t="n"/>
      <c r="X50" s="141" t="n"/>
      <c r="Y50" s="141" t="n"/>
      <c r="Z50" s="141" t="n"/>
      <c r="AA50" s="141" t="n"/>
    </row>
    <row r="51" ht="18" customFormat="1" customHeight="1" s="173">
      <c r="A51" s="171" t="n"/>
      <c r="B51" s="153" t="inlineStr">
        <is>
          <t>Estaño (Sn)</t>
        </is>
      </c>
      <c r="C51" s="154" t="n">
        <v>0</v>
      </c>
      <c r="D51" s="154" t="n"/>
      <c r="E51" s="154" t="n"/>
      <c r="F51" s="154" t="n"/>
      <c r="G51" s="154" t="n"/>
      <c r="H51" s="154" t="n"/>
      <c r="I51" s="154" t="n"/>
      <c r="J51" s="154" t="n"/>
      <c r="K51" s="154" t="n"/>
      <c r="L51" s="154" t="n"/>
      <c r="M51" s="149" t="n"/>
      <c r="N51" s="164" t="n"/>
      <c r="O51" s="177" t="n"/>
      <c r="P51" s="164" t="n"/>
      <c r="Q51" s="177" t="n"/>
      <c r="R51" s="172" t="n"/>
      <c r="S51" s="151" t="n"/>
      <c r="T51" s="141" t="n"/>
      <c r="U51" s="141" t="n"/>
      <c r="V51" s="141" t="n"/>
      <c r="W51" s="152" t="n"/>
      <c r="X51" s="141" t="n"/>
      <c r="Y51" s="141" t="n"/>
      <c r="Z51" s="141" t="n"/>
    </row>
    <row r="52" ht="18" customHeight="1">
      <c r="A52" s="142" t="n"/>
      <c r="B52" s="158" t="n"/>
      <c r="C52" s="158" t="n"/>
      <c r="D52" s="158" t="n"/>
      <c r="E52" s="158" t="n"/>
      <c r="F52" s="158" t="n"/>
      <c r="G52" s="158" t="n"/>
      <c r="H52" s="158" t="n"/>
      <c r="I52" s="158" t="n"/>
      <c r="J52" s="158" t="n"/>
      <c r="K52" s="158" t="n"/>
      <c r="L52" s="158" t="n"/>
      <c r="N52" s="174" t="n"/>
      <c r="O52" s="182" t="n"/>
      <c r="P52" s="183" t="n"/>
      <c r="Q52" s="183" t="n"/>
      <c r="R52" s="155" t="n"/>
      <c r="S52" s="151" t="n"/>
      <c r="T52" s="141" t="n"/>
      <c r="U52" s="141" t="n"/>
      <c r="V52" s="141" t="n"/>
      <c r="W52" s="152" t="n"/>
      <c r="X52" s="141" t="n"/>
      <c r="Y52" s="141" t="n"/>
      <c r="Z52" s="141" t="n"/>
      <c r="AA52" s="141" t="n"/>
    </row>
    <row r="53" ht="18" customFormat="1" customHeight="1" s="173">
      <c r="A53" s="171" t="n"/>
      <c r="B53" s="275" t="inlineStr">
        <is>
          <t>OTROS ELEMENTOS - PPM (mg/kg)</t>
        </is>
      </c>
      <c r="C53" s="446" t="n"/>
      <c r="D53" s="446" t="n"/>
      <c r="E53" s="446" t="n"/>
      <c r="F53" s="446" t="n"/>
      <c r="G53" s="446" t="n"/>
      <c r="H53" s="446" t="n"/>
      <c r="I53" s="446" t="n"/>
      <c r="J53" s="446" t="n"/>
      <c r="K53" s="446" t="n"/>
      <c r="L53" s="447" t="n"/>
      <c r="M53" s="140" t="n"/>
      <c r="N53" s="276" t="inlineStr">
        <is>
          <t>* Rangos Generales</t>
        </is>
      </c>
      <c r="O53" s="436" t="n"/>
      <c r="P53" s="436" t="n"/>
      <c r="Q53" s="437" t="n"/>
      <c r="R53" s="172" t="n"/>
      <c r="S53" s="151" t="n"/>
      <c r="T53" s="141" t="n"/>
      <c r="U53" s="141" t="n"/>
      <c r="V53" s="141" t="n"/>
      <c r="W53" s="152" t="n"/>
      <c r="X53" s="141" t="n"/>
      <c r="Y53" s="141" t="n"/>
      <c r="Z53" s="141" t="n"/>
      <c r="AA53" s="141" t="n"/>
    </row>
    <row r="54" ht="18" customFormat="1" customHeight="1" s="173">
      <c r="A54" s="171" t="n"/>
      <c r="B54" s="448" t="n"/>
      <c r="C54" s="449" t="n"/>
      <c r="D54" s="449" t="n"/>
      <c r="E54" s="449" t="n"/>
      <c r="F54" s="449" t="n"/>
      <c r="G54" s="449" t="n"/>
      <c r="H54" s="449" t="n"/>
      <c r="I54" s="449" t="n"/>
      <c r="J54" s="449" t="n"/>
      <c r="K54" s="449" t="n"/>
      <c r="L54" s="450" t="n"/>
      <c r="M54" s="149" t="n"/>
      <c r="N54" s="276" t="inlineStr">
        <is>
          <t>Precaución</t>
        </is>
      </c>
      <c r="O54" s="437" t="n"/>
      <c r="P54" s="276" t="inlineStr">
        <is>
          <t>Anormal</t>
        </is>
      </c>
      <c r="Q54" s="437" t="n"/>
      <c r="R54" s="172" t="n"/>
      <c r="S54" s="151" t="n"/>
      <c r="T54" s="141" t="n"/>
      <c r="U54" s="141" t="n"/>
      <c r="V54" s="141" t="n"/>
      <c r="W54" s="152" t="n"/>
      <c r="X54" s="141" t="n"/>
      <c r="Y54" s="141" t="n"/>
      <c r="Z54" s="141" t="n"/>
    </row>
    <row r="55" ht="18" customFormat="1" customHeight="1" s="173">
      <c r="A55" s="171" t="n"/>
      <c r="B55" s="153" t="inlineStr">
        <is>
          <t>Mo (Molibdeno)</t>
        </is>
      </c>
      <c r="C55" s="154" t="n">
        <v>0</v>
      </c>
      <c r="D55" s="154" t="n"/>
      <c r="E55" s="154" t="n"/>
      <c r="F55" s="154" t="n"/>
      <c r="G55" s="154" t="n"/>
      <c r="H55" s="154" t="n"/>
      <c r="I55" s="154" t="n"/>
      <c r="J55" s="154" t="n"/>
      <c r="K55" s="154" t="n"/>
      <c r="L55" s="154" t="n"/>
      <c r="M55" s="149" t="n"/>
      <c r="N55" s="164" t="n"/>
      <c r="O55" s="178" t="n"/>
      <c r="P55" s="164" t="n"/>
      <c r="Q55" s="178" t="n"/>
      <c r="R55" s="172" t="n"/>
      <c r="S55" s="151" t="n"/>
      <c r="T55" s="141" t="n"/>
      <c r="U55" s="141" t="n"/>
      <c r="V55" s="141" t="n"/>
      <c r="W55" s="152" t="n"/>
      <c r="X55" s="141" t="n"/>
      <c r="Y55" s="141" t="n"/>
      <c r="Z55" s="141" t="n"/>
    </row>
    <row r="56" ht="18" customFormat="1" customHeight="1" s="173">
      <c r="A56" s="171" t="n"/>
      <c r="B56" s="153" t="inlineStr">
        <is>
          <t>B (Boro)</t>
        </is>
      </c>
      <c r="C56" s="154" t="n">
        <v>0</v>
      </c>
      <c r="D56" s="154" t="n"/>
      <c r="E56" s="154" t="n"/>
      <c r="F56" s="154" t="n"/>
      <c r="G56" s="154" t="n"/>
      <c r="H56" s="154" t="n"/>
      <c r="I56" s="154" t="n"/>
      <c r="J56" s="154" t="n"/>
      <c r="K56" s="154" t="n"/>
      <c r="L56" s="154" t="n"/>
      <c r="M56" s="149" t="n"/>
      <c r="N56" s="164" t="n"/>
      <c r="O56" s="178" t="n"/>
      <c r="P56" s="164" t="n"/>
      <c r="Q56" s="178" t="n"/>
      <c r="R56" s="172" t="n"/>
      <c r="S56" s="151" t="n"/>
      <c r="T56" s="141" t="n"/>
      <c r="U56" s="141" t="n"/>
      <c r="V56" s="141" t="n"/>
      <c r="W56" s="152" t="n"/>
      <c r="X56" s="141" t="n"/>
      <c r="Y56" s="141" t="n"/>
      <c r="Z56" s="141" t="n"/>
    </row>
    <row r="57" ht="18" customFormat="1" customHeight="1" s="173">
      <c r="A57" s="171" t="n"/>
      <c r="B57" s="153" t="inlineStr">
        <is>
          <t>Ba (Bario)</t>
        </is>
      </c>
      <c r="C57" s="154" t="n">
        <v>0</v>
      </c>
      <c r="D57" s="154" t="n"/>
      <c r="E57" s="154" t="n"/>
      <c r="F57" s="154" t="n"/>
      <c r="G57" s="154" t="n"/>
      <c r="H57" s="154" t="n"/>
      <c r="I57" s="154" t="n"/>
      <c r="J57" s="154" t="n"/>
      <c r="K57" s="154" t="n"/>
      <c r="L57" s="154" t="n"/>
      <c r="M57" s="149" t="n"/>
      <c r="N57" s="164" t="n"/>
      <c r="O57" s="178" t="n"/>
      <c r="P57" s="164" t="n"/>
      <c r="Q57" s="178" t="n"/>
      <c r="R57" s="172" t="n"/>
      <c r="S57" s="151" t="n"/>
      <c r="T57" s="141" t="n"/>
      <c r="U57" s="141" t="n"/>
      <c r="V57" s="141" t="n"/>
      <c r="W57" s="152" t="n"/>
      <c r="X57" s="141" t="n"/>
      <c r="Y57" s="141" t="n"/>
      <c r="Z57" s="141" t="n"/>
    </row>
    <row r="58" ht="18" customFormat="1" customHeight="1" s="173">
      <c r="A58" s="171" t="n"/>
      <c r="B58" s="153" t="inlineStr">
        <is>
          <t>Ti (Titaniao)</t>
        </is>
      </c>
      <c r="C58" s="154" t="n">
        <v>0</v>
      </c>
      <c r="D58" s="154" t="n"/>
      <c r="E58" s="154" t="n"/>
      <c r="F58" s="154" t="n"/>
      <c r="G58" s="154" t="n"/>
      <c r="H58" s="154" t="n"/>
      <c r="I58" s="154" t="n"/>
      <c r="J58" s="154" t="n"/>
      <c r="K58" s="154" t="n"/>
      <c r="L58" s="154" t="n"/>
      <c r="M58" s="140" t="n"/>
      <c r="N58" s="164" t="n"/>
      <c r="O58" s="178" t="n"/>
      <c r="P58" s="164" t="n"/>
      <c r="Q58" s="178" t="n"/>
      <c r="R58" s="172" t="n"/>
      <c r="S58" s="151" t="n"/>
      <c r="T58" s="141" t="n"/>
      <c r="U58" s="141" t="n"/>
      <c r="V58" s="141" t="n"/>
      <c r="W58" s="152" t="n"/>
      <c r="X58" s="141" t="n"/>
      <c r="Y58" s="141" t="n"/>
      <c r="Z58" s="141" t="n"/>
      <c r="AA58" s="141" t="n"/>
    </row>
    <row r="59" ht="18" customFormat="1" customHeight="1" s="173">
      <c r="A59" s="171" t="n"/>
      <c r="B59" s="153" t="inlineStr">
        <is>
          <t>Ag (Plata)</t>
        </is>
      </c>
      <c r="C59" s="154" t="n">
        <v>0</v>
      </c>
      <c r="D59" s="154" t="n"/>
      <c r="E59" s="154" t="n"/>
      <c r="F59" s="154" t="n"/>
      <c r="G59" s="154" t="n"/>
      <c r="H59" s="154" t="n"/>
      <c r="I59" s="154" t="n"/>
      <c r="J59" s="154" t="n"/>
      <c r="K59" s="154" t="n"/>
      <c r="L59" s="154" t="n"/>
      <c r="M59" s="149" t="n"/>
      <c r="N59" s="164" t="n"/>
      <c r="O59" s="178" t="n"/>
      <c r="P59" s="164" t="n"/>
      <c r="Q59" s="178" t="n"/>
      <c r="R59" s="172" t="n"/>
      <c r="S59" s="151" t="n"/>
      <c r="T59" s="141" t="n"/>
      <c r="U59" s="141" t="n"/>
      <c r="V59" s="141" t="n"/>
      <c r="W59" s="152" t="n"/>
      <c r="X59" s="141" t="n"/>
      <c r="Y59" s="141" t="n"/>
      <c r="Z59" s="141" t="n"/>
      <c r="AA59" s="141" t="n"/>
    </row>
    <row r="60" ht="18" customFormat="1" customHeight="1" s="173">
      <c r="A60" s="171" t="n"/>
      <c r="B60" s="158" t="n"/>
      <c r="C60" s="158" t="n"/>
      <c r="D60" s="158" t="n"/>
      <c r="E60" s="158" t="n"/>
      <c r="F60" s="158" t="n"/>
      <c r="G60" s="158" t="n"/>
      <c r="H60" s="158" t="n"/>
      <c r="I60" s="158" t="n"/>
      <c r="J60" s="158" t="n"/>
      <c r="K60" s="158" t="n"/>
      <c r="L60" s="158" t="n"/>
      <c r="M60" s="141" t="n"/>
      <c r="N60" s="141" t="n"/>
      <c r="O60" s="141" t="n"/>
      <c r="P60" s="141" t="n"/>
      <c r="Q60" s="141" t="n"/>
      <c r="R60" s="172" t="n"/>
      <c r="S60" s="151" t="n"/>
      <c r="T60" s="141" t="n"/>
      <c r="U60" s="141" t="n"/>
      <c r="V60" s="141" t="n"/>
      <c r="W60" s="152" t="n"/>
      <c r="X60" s="141" t="n"/>
      <c r="Y60" s="141" t="n"/>
      <c r="Z60" s="141" t="n"/>
      <c r="AA60" s="141" t="n"/>
    </row>
    <row r="61" ht="18" customFormat="1" customHeight="1" s="173">
      <c r="A61" s="171" t="n"/>
      <c r="B61" s="275" t="inlineStr">
        <is>
          <t>PRESENCIA DE ADITIVOS - PPM (mg/kg)</t>
        </is>
      </c>
      <c r="C61" s="446" t="n"/>
      <c r="D61" s="446" t="n"/>
      <c r="E61" s="446" t="n"/>
      <c r="F61" s="446" t="n"/>
      <c r="G61" s="446" t="n"/>
      <c r="H61" s="446" t="n"/>
      <c r="I61" s="446" t="n"/>
      <c r="J61" s="446" t="n"/>
      <c r="K61" s="446" t="n"/>
      <c r="L61" s="447" t="n"/>
      <c r="M61" s="141" t="n"/>
      <c r="N61" s="141" t="n"/>
      <c r="O61" s="141" t="n"/>
      <c r="P61" s="141" t="n"/>
      <c r="Q61" s="141" t="n"/>
      <c r="R61" s="172" t="n"/>
      <c r="S61" s="151" t="n"/>
      <c r="T61" s="141" t="n"/>
      <c r="U61" s="141" t="n"/>
      <c r="V61" s="141" t="n"/>
      <c r="W61" s="152" t="n"/>
      <c r="X61" s="141" t="n"/>
      <c r="Y61" s="141" t="n"/>
      <c r="Z61" s="141" t="n"/>
      <c r="AA61" s="141" t="n"/>
    </row>
    <row r="62" ht="18" customHeight="1">
      <c r="A62" s="142" t="n"/>
      <c r="B62" s="448" t="n"/>
      <c r="C62" s="449" t="n"/>
      <c r="D62" s="449" t="n"/>
      <c r="E62" s="449" t="n"/>
      <c r="F62" s="449" t="n"/>
      <c r="G62" s="449" t="n"/>
      <c r="H62" s="449" t="n"/>
      <c r="I62" s="449" t="n"/>
      <c r="J62" s="449" t="n"/>
      <c r="K62" s="449" t="n"/>
      <c r="L62" s="450" t="n"/>
      <c r="M62" s="141" t="n"/>
      <c r="N62" s="141" t="n"/>
      <c r="O62" s="141" t="n"/>
      <c r="P62" s="141" t="n"/>
      <c r="Q62" s="141" t="n"/>
      <c r="R62" s="155" t="n"/>
      <c r="S62" s="151" t="n"/>
      <c r="T62" s="141" t="n"/>
      <c r="U62" s="141" t="n"/>
      <c r="V62" s="141" t="n"/>
      <c r="W62" s="152" t="n"/>
      <c r="X62" s="141" t="n"/>
      <c r="Y62" s="141" t="n"/>
      <c r="Z62" s="141" t="n"/>
      <c r="AA62" s="141" t="n"/>
    </row>
    <row r="63" ht="18" customHeight="1">
      <c r="A63" s="142" t="n"/>
      <c r="B63" s="153" t="inlineStr">
        <is>
          <t>Ca (Calcio)</t>
        </is>
      </c>
      <c r="C63" s="154" t="n">
        <v>0</v>
      </c>
      <c r="D63" s="154" t="n"/>
      <c r="E63" s="154" t="n"/>
      <c r="F63" s="154" t="n"/>
      <c r="G63" s="154" t="n"/>
      <c r="H63" s="154" t="n"/>
      <c r="I63" s="154" t="n"/>
      <c r="J63" s="154" t="n"/>
      <c r="K63" s="154" t="n"/>
      <c r="L63" s="154" t="n"/>
      <c r="M63" s="141" t="n"/>
      <c r="N63" s="141" t="n"/>
      <c r="O63" s="141" t="n"/>
      <c r="P63" s="141" t="n"/>
      <c r="Q63" s="141" t="n"/>
      <c r="R63" s="155" t="n"/>
      <c r="S63" s="151" t="n"/>
      <c r="T63" s="141" t="n"/>
      <c r="U63" s="141" t="n"/>
      <c r="V63" s="141" t="n"/>
      <c r="W63" s="152" t="n"/>
      <c r="X63" s="141" t="n"/>
      <c r="Y63" s="141" t="n"/>
      <c r="Z63" s="141" t="n"/>
      <c r="AA63" s="141" t="n"/>
    </row>
    <row r="64" ht="18" customHeight="1">
      <c r="A64" s="142" t="n"/>
      <c r="B64" s="153" t="inlineStr">
        <is>
          <t>Mg (Magnesio)</t>
        </is>
      </c>
      <c r="C64" s="154" t="n">
        <v>0</v>
      </c>
      <c r="D64" s="154" t="n"/>
      <c r="E64" s="154" t="n"/>
      <c r="F64" s="154" t="n"/>
      <c r="G64" s="154" t="n"/>
      <c r="H64" s="154" t="n"/>
      <c r="I64" s="154" t="n"/>
      <c r="J64" s="154" t="n"/>
      <c r="K64" s="154" t="n"/>
      <c r="L64" s="154" t="n"/>
      <c r="M64" s="141" t="n"/>
      <c r="N64" s="141" t="n"/>
      <c r="O64" s="141" t="n"/>
      <c r="P64" s="141" t="n"/>
      <c r="Q64" s="141" t="n"/>
      <c r="R64" s="155" t="n"/>
      <c r="S64" s="151" t="n"/>
      <c r="T64" s="141" t="n"/>
      <c r="U64" s="141" t="n"/>
      <c r="V64" s="141" t="n"/>
      <c r="W64" s="152" t="n"/>
      <c r="X64" s="141" t="n"/>
      <c r="Y64" s="141" t="n"/>
      <c r="Z64" s="141" t="n"/>
      <c r="AA64" s="141" t="n"/>
    </row>
    <row r="65" ht="18" customHeight="1">
      <c r="A65" s="142" t="n"/>
      <c r="B65" s="153" t="inlineStr">
        <is>
          <t>Zn (Zinc)</t>
        </is>
      </c>
      <c r="C65" s="154" t="n">
        <v>0</v>
      </c>
      <c r="D65" s="154" t="n"/>
      <c r="E65" s="154" t="n"/>
      <c r="F65" s="154" t="n"/>
      <c r="G65" s="154" t="n"/>
      <c r="H65" s="154" t="n"/>
      <c r="I65" s="154" t="n"/>
      <c r="J65" s="154" t="n"/>
      <c r="K65" s="154" t="n"/>
      <c r="L65" s="154" t="n"/>
      <c r="M65" s="141" t="n"/>
      <c r="N65" s="141" t="n"/>
      <c r="O65" s="141" t="n"/>
      <c r="P65" s="141" t="n"/>
      <c r="Q65" s="141" t="n"/>
      <c r="R65" s="155" t="n"/>
      <c r="S65" s="151" t="n"/>
      <c r="T65" s="141" t="n"/>
      <c r="U65" s="141" t="n"/>
      <c r="V65" s="141" t="n"/>
      <c r="W65" s="152" t="n"/>
      <c r="X65" s="141" t="n"/>
      <c r="Y65" s="141" t="n"/>
      <c r="Z65" s="141" t="n"/>
      <c r="AA65" s="141" t="n"/>
    </row>
    <row r="66" ht="18" customHeight="1">
      <c r="A66" s="142" t="n"/>
      <c r="B66" s="153" t="inlineStr">
        <is>
          <t>P (Fosforo)</t>
        </is>
      </c>
      <c r="C66" s="154" t="n">
        <v>0</v>
      </c>
      <c r="D66" s="154" t="n"/>
      <c r="E66" s="154" t="n"/>
      <c r="F66" s="154" t="n"/>
      <c r="G66" s="154" t="n"/>
      <c r="H66" s="154" t="n"/>
      <c r="I66" s="154" t="n"/>
      <c r="J66" s="154" t="n"/>
      <c r="K66" s="154" t="n"/>
      <c r="L66" s="154" t="n"/>
      <c r="M66" s="141" t="n"/>
      <c r="N66" s="141" t="n"/>
      <c r="O66" s="141" t="n"/>
      <c r="P66" s="141" t="n"/>
      <c r="Q66" s="141" t="n"/>
      <c r="R66" s="155" t="n"/>
      <c r="S66" s="151" t="n"/>
      <c r="T66" s="141" t="n"/>
      <c r="U66" s="141" t="n"/>
      <c r="V66" s="141" t="n"/>
      <c r="W66" s="152" t="n"/>
      <c r="X66" s="141" t="n"/>
      <c r="Y66" s="141" t="n"/>
      <c r="Z66" s="141" t="n"/>
      <c r="AA66" s="141" t="n"/>
    </row>
    <row r="67" ht="18" customHeight="1" thickBot="1">
      <c r="A67" s="184" t="n"/>
      <c r="B67" s="185" t="n"/>
      <c r="C67" s="185" t="n"/>
      <c r="D67" s="185" t="n"/>
      <c r="E67" s="185" t="n"/>
      <c r="F67" s="185" t="n"/>
      <c r="G67" s="185" t="n"/>
      <c r="H67" s="185" t="n"/>
      <c r="I67" s="185" t="n"/>
      <c r="J67" s="185" t="n"/>
      <c r="K67" s="185" t="n"/>
      <c r="L67" s="185" t="n"/>
      <c r="M67" s="186" t="n"/>
      <c r="N67" s="186" t="n"/>
      <c r="O67" s="187" t="n"/>
      <c r="P67" s="187" t="n"/>
      <c r="Q67" s="187" t="n"/>
      <c r="R67" s="188" t="n"/>
      <c r="S67" s="151" t="n"/>
      <c r="T67" s="141" t="n"/>
      <c r="U67" s="141" t="n"/>
      <c r="V67" s="141" t="n"/>
      <c r="W67" s="152" t="n"/>
      <c r="X67" s="141" t="n"/>
      <c r="Y67" s="141" t="n"/>
      <c r="Z67" s="141" t="n"/>
      <c r="AA67" s="141" t="n"/>
    </row>
    <row r="68" ht="15" customHeight="1">
      <c r="A68" s="189" t="n"/>
      <c r="B68" s="190" t="n"/>
      <c r="C68" s="190" t="n"/>
      <c r="D68" s="190" t="n"/>
      <c r="E68" s="190" t="n"/>
      <c r="F68" s="190" t="n"/>
      <c r="G68" s="190" t="n"/>
      <c r="H68" s="190" t="n"/>
      <c r="I68" s="190" t="n"/>
      <c r="J68" s="190" t="n"/>
      <c r="K68" s="190" t="n"/>
      <c r="L68" s="190" t="n"/>
      <c r="M68" s="190" t="n"/>
      <c r="N68" s="190" t="n"/>
      <c r="O68" s="190" t="n"/>
      <c r="P68" s="190" t="n"/>
      <c r="Q68" s="190" t="n"/>
      <c r="R68" s="190" t="n"/>
      <c r="S68" s="190" t="n"/>
      <c r="T68" s="190" t="n"/>
      <c r="U68" s="190" t="n"/>
      <c r="V68" s="190" t="n"/>
      <c r="W68" s="191" t="n"/>
      <c r="X68" s="141" t="n"/>
      <c r="Y68" s="141" t="n"/>
      <c r="Z68" s="141" t="n"/>
      <c r="AA68" s="141" t="n"/>
    </row>
    <row r="69" ht="15" customHeight="1">
      <c r="A69" s="142" t="n"/>
      <c r="B69" s="149" t="inlineStr">
        <is>
          <t>ELABORADO POR:</t>
        </is>
      </c>
      <c r="D69" s="149" t="inlineStr">
        <is>
          <t>REVISADO POR:</t>
        </is>
      </c>
      <c r="E69" s="149" t="n"/>
      <c r="F69" s="149" t="n"/>
      <c r="W69" s="155" t="n"/>
      <c r="X69" s="141" t="n"/>
      <c r="Y69" s="141" t="n"/>
      <c r="Z69" s="141" t="n"/>
      <c r="AA69" s="141" t="n"/>
    </row>
    <row r="70" ht="42" customHeight="1">
      <c r="A70" s="142" t="n"/>
      <c r="G70" s="141" t="n"/>
      <c r="H70" s="141" t="n"/>
      <c r="I70" s="141" t="n"/>
      <c r="J70" s="141" t="n"/>
      <c r="K70" s="141" t="n"/>
      <c r="L70" s="141" t="n"/>
      <c r="W70" s="155" t="n"/>
      <c r="X70" s="141" t="n"/>
      <c r="Y70" s="141" t="n"/>
      <c r="Z70" s="141" t="n"/>
      <c r="AA70" s="141" t="n"/>
    </row>
    <row r="71" ht="41.25" customHeight="1" thickBot="1">
      <c r="A71" s="142" t="n"/>
      <c r="B71" s="192" t="n"/>
      <c r="D71" s="192" t="n"/>
      <c r="E71" s="192" t="n"/>
      <c r="F71" s="192" t="n"/>
      <c r="G71" s="141" t="n"/>
      <c r="H71" s="141" t="n"/>
      <c r="I71" s="141" t="n"/>
      <c r="J71" s="141" t="n"/>
      <c r="K71" s="141" t="n"/>
      <c r="L71" s="141" t="n"/>
      <c r="W71" s="155" t="n"/>
      <c r="X71" s="141" t="n"/>
      <c r="Y71" s="141" t="n"/>
      <c r="Z71" s="141" t="n"/>
      <c r="AA71" s="141" t="n"/>
    </row>
    <row r="72" ht="15" customHeight="1">
      <c r="A72" s="142" t="n"/>
      <c r="B72" s="149" t="inlineStr">
        <is>
          <t>Analista Autorizado</t>
        </is>
      </c>
      <c r="D72" s="149" t="inlineStr">
        <is>
          <t>Jefe de Servicio Post Venta</t>
        </is>
      </c>
      <c r="E72" s="149" t="n"/>
      <c r="F72" s="149" t="n"/>
      <c r="W72" s="155" t="n"/>
      <c r="X72" s="141" t="n"/>
      <c r="Y72" s="141" t="n"/>
      <c r="Z72" s="141" t="n"/>
      <c r="AA72" s="141" t="n"/>
    </row>
    <row r="73" ht="15" customHeight="1">
      <c r="A73" s="142" t="n"/>
      <c r="B73" s="149" t="inlineStr">
        <is>
          <t>Dpto. Laboratorio</t>
        </is>
      </c>
      <c r="D73" s="149" t="inlineStr">
        <is>
          <t>Dpto. Técnico y Laboratorio</t>
        </is>
      </c>
      <c r="E73" s="149" t="n"/>
      <c r="F73" s="149" t="n"/>
      <c r="W73" s="155" t="n"/>
      <c r="X73" s="141" t="n"/>
      <c r="Y73" s="141" t="n"/>
      <c r="Z73" s="141" t="n"/>
      <c r="AA73" s="141" t="n"/>
    </row>
    <row r="74" ht="12.75" customHeight="1" thickBot="1">
      <c r="A74" s="184" t="n"/>
      <c r="B74" s="193" t="inlineStr">
        <is>
          <t>Lubricantes Internacionales S.A.</t>
        </is>
      </c>
      <c r="C74" s="192" t="n"/>
      <c r="D74" s="193" t="inlineStr">
        <is>
          <t>Lubricantes Internacionales S.A.</t>
        </is>
      </c>
      <c r="E74" s="193" t="n"/>
      <c r="F74" s="193" t="n"/>
      <c r="G74" s="192" t="n"/>
      <c r="H74" s="192" t="n"/>
      <c r="I74" s="192" t="n"/>
      <c r="J74" s="192" t="n"/>
      <c r="K74" s="192" t="n"/>
      <c r="L74" s="192" t="n"/>
      <c r="M74" s="192" t="n"/>
      <c r="N74" s="192" t="n"/>
      <c r="O74" s="192" t="n"/>
      <c r="P74" s="192" t="n"/>
      <c r="Q74" s="192" t="n"/>
      <c r="R74" s="192" t="n"/>
      <c r="S74" s="192" t="n"/>
      <c r="T74" s="192" t="n"/>
      <c r="U74" s="192" t="n"/>
      <c r="V74" s="192" t="n"/>
      <c r="W74" s="188" t="n"/>
    </row>
    <row r="75" ht="15.75" customHeight="1" thickBot="1">
      <c r="A75" s="184" t="n"/>
      <c r="B75" s="194" t="inlineStr">
        <is>
          <t>VEN-FOR-006K  VERSION:1 FECHA 2021-SEPT-14</t>
        </is>
      </c>
      <c r="C75" s="192" t="n"/>
      <c r="D75" s="192" t="n"/>
      <c r="E75" s="192" t="n"/>
      <c r="F75" s="192" t="n"/>
      <c r="G75" s="192" t="n"/>
      <c r="H75" s="192" t="n"/>
      <c r="I75" s="192" t="n"/>
      <c r="J75" s="192" t="n"/>
      <c r="K75" s="192" t="n"/>
      <c r="L75" s="192" t="n"/>
      <c r="M75" s="192" t="n"/>
      <c r="N75" s="192" t="n"/>
      <c r="O75" s="192" t="n"/>
      <c r="P75" s="192" t="n"/>
      <c r="Q75" s="192" t="n"/>
      <c r="R75" s="192" t="n"/>
      <c r="S75" s="192" t="n"/>
      <c r="T75" s="192" t="n"/>
      <c r="U75" s="192" t="n"/>
      <c r="V75" s="192" t="n"/>
      <c r="W75" s="192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2IhXXYi3LCqyJOUAEsvMAQ==" formatRows="1" sort="1" spinCount="100000" hashValue="T44cFnRP0PXPkpuhwyc6k2xmBkEPng4xG3GyxX59cXlqruLqAzV8AGtKpMMfBJKGBtQvi6uaX+2q8wJqaULYMQ=="/>
  <mergeCells count="47">
    <mergeCell ref="P26:Q26"/>
    <mergeCell ref="H3:K3"/>
    <mergeCell ref="P38:Q38"/>
    <mergeCell ref="N54:O54"/>
    <mergeCell ref="C2:G3"/>
    <mergeCell ref="B37:L38"/>
    <mergeCell ref="B10:L11"/>
    <mergeCell ref="N30:Q30"/>
    <mergeCell ref="L6:R6"/>
    <mergeCell ref="P31:Q31"/>
    <mergeCell ref="B44:L45"/>
    <mergeCell ref="B53:L54"/>
    <mergeCell ref="H5:K5"/>
    <mergeCell ref="A1:W1"/>
    <mergeCell ref="N21:O21"/>
    <mergeCell ref="C4:G8"/>
    <mergeCell ref="S2:W2"/>
    <mergeCell ref="P21:Q21"/>
    <mergeCell ref="H8:K8"/>
    <mergeCell ref="L2:R2"/>
    <mergeCell ref="N20:Q20"/>
    <mergeCell ref="B20:L21"/>
    <mergeCell ref="L7:R7"/>
    <mergeCell ref="S5:W8"/>
    <mergeCell ref="N25:Q25"/>
    <mergeCell ref="B30:L31"/>
    <mergeCell ref="H4:K4"/>
    <mergeCell ref="N37:Q37"/>
    <mergeCell ref="N53:Q53"/>
    <mergeCell ref="N38:O38"/>
    <mergeCell ref="L3:R3"/>
    <mergeCell ref="S3:W4"/>
    <mergeCell ref="H6:K6"/>
    <mergeCell ref="P28:Q28"/>
    <mergeCell ref="N31:O31"/>
    <mergeCell ref="B9:O9"/>
    <mergeCell ref="L5:R5"/>
    <mergeCell ref="A2:B8"/>
    <mergeCell ref="B61:L62"/>
    <mergeCell ref="L8:R8"/>
    <mergeCell ref="L4:R4"/>
    <mergeCell ref="H2:K2"/>
    <mergeCell ref="N44:Q44"/>
    <mergeCell ref="H7:K7"/>
    <mergeCell ref="N45:O45"/>
    <mergeCell ref="P45:Q45"/>
    <mergeCell ref="P54:Q54"/>
  </mergeCells>
  <conditionalFormatting sqref="C22">
    <cfRule type="cellIs" priority="32" operator="greaterThan" dxfId="0" stopIfTrue="1">
      <formula>$Q$22</formula>
    </cfRule>
    <cfRule type="cellIs" priority="31" operator="lessThan" dxfId="0" stopIfTrue="1">
      <formula>$O$22</formula>
    </cfRule>
  </conditionalFormatting>
  <conditionalFormatting sqref="C23">
    <cfRule type="cellIs" priority="29" operator="lessThan" dxfId="0" stopIfTrue="1">
      <formula>$O$23</formula>
    </cfRule>
    <cfRule type="cellIs" priority="30" operator="greaterThan" dxfId="0" stopIfTrue="1">
      <formula>$Q$23</formula>
    </cfRule>
  </conditionalFormatting>
  <conditionalFormatting sqref="C18:L18">
    <cfRule type="containsText" priority="22" operator="containsText" dxfId="2" stopIfTrue="1" text="ANORMAL">
      <formula>NOT(ISERROR(SEARCH("ANORMAL",C18)))</formula>
    </cfRule>
    <cfRule type="containsText" priority="23" operator="containsText" dxfId="3" stopIfTrue="1" text="N/D">
      <formula>NOT(ISERROR(SEARCH("N/D",C18)))</formula>
    </cfRule>
    <cfRule type="containsText" priority="24" operator="containsText" dxfId="0" stopIfTrue="1" text="PRECAUCIÓN">
      <formula>NOT(ISERROR(SEARCH("PRECAUCIÓN",C18)))</formula>
    </cfRule>
    <cfRule type="containsText" priority="25" operator="containsText" dxfId="1" stopIfTrue="1" text="NORMAL">
      <formula>NOT(ISERROR(SEARCH("NORMAL",C18)))</formula>
    </cfRule>
  </conditionalFormatting>
  <conditionalFormatting sqref="C26:L26">
    <cfRule type="cellIs" priority="8" operator="equal" dxfId="2" stopIfTrue="1">
      <formula>"POSITIVO"</formula>
    </cfRule>
  </conditionalFormatting>
  <conditionalFormatting sqref="C27:L27">
    <cfRule type="cellIs" priority="11" operator="greaterThanOrEqual" dxfId="2" stopIfTrue="1">
      <formula>$Q$27</formula>
    </cfRule>
  </conditionalFormatting>
  <conditionalFormatting sqref="C28:L28">
    <cfRule type="cellIs" priority="7" operator="equal" dxfId="2" stopIfTrue="1">
      <formula>"POSITIVO"</formula>
    </cfRule>
  </conditionalFormatting>
  <conditionalFormatting sqref="C32:L32">
    <cfRule type="cellIs" priority="53" operator="greaterThanOrEqual" dxfId="2" stopIfTrue="1">
      <formula>$Q$32</formula>
    </cfRule>
    <cfRule type="cellIs" priority="54" operator="between" dxfId="0" stopIfTrue="1">
      <formula>$O$32</formula>
      <formula>$Q$32</formula>
    </cfRule>
  </conditionalFormatting>
  <conditionalFormatting sqref="C33:L33">
    <cfRule type="cellIs" priority="3" operator="greaterThanOrEqual" dxfId="2" stopIfTrue="1">
      <formula>$Q$33</formula>
    </cfRule>
    <cfRule type="cellIs" priority="4" operator="between" dxfId="0" stopIfTrue="1">
      <formula>$O$33</formula>
      <formula>$Q$33</formula>
    </cfRule>
  </conditionalFormatting>
  <conditionalFormatting sqref="C34:L34">
    <cfRule type="cellIs" priority="5" operator="greaterThanOrEqual" dxfId="2" stopIfTrue="1">
      <formula>$Q$34</formula>
    </cfRule>
    <cfRule type="cellIs" priority="6" operator="between" dxfId="0" stopIfTrue="1">
      <formula>$O$34</formula>
      <formula>$Q$34</formula>
    </cfRule>
  </conditionalFormatting>
  <conditionalFormatting sqref="C35:L35">
    <cfRule type="cellIs" priority="2" operator="between" dxfId="0" stopIfTrue="1">
      <formula>$O$35</formula>
      <formula>$Q$35</formula>
    </cfRule>
    <cfRule type="cellIs" priority="1" operator="greaterThanOrEqual" dxfId="2" stopIfTrue="1">
      <formula>$Q$35</formula>
    </cfRule>
  </conditionalFormatting>
  <conditionalFormatting sqref="C39:L39">
    <cfRule type="cellIs" priority="40" operator="greaterThanOrEqual" dxfId="2" stopIfTrue="1">
      <formula>$Q$39</formula>
    </cfRule>
    <cfRule type="cellIs" priority="41" operator="between" dxfId="0" stopIfTrue="1">
      <formula>$O$39</formula>
      <formula>$Q$39</formula>
    </cfRule>
  </conditionalFormatting>
  <conditionalFormatting sqref="C40:L40">
    <cfRule type="cellIs" priority="38" operator="greaterThanOrEqual" dxfId="2" stopIfTrue="1">
      <formula>$Q$40</formula>
    </cfRule>
    <cfRule type="cellIs" priority="39" operator="between" dxfId="0" stopIfTrue="1">
      <formula>$O$40</formula>
      <formula>$Q$40</formula>
    </cfRule>
  </conditionalFormatting>
  <conditionalFormatting sqref="C41:L41">
    <cfRule type="cellIs" priority="16" operator="greaterThanOrEqual" dxfId="2" stopIfTrue="1">
      <formula>$Q$41</formula>
    </cfRule>
    <cfRule type="cellIs" priority="17" operator="between" dxfId="0" stopIfTrue="1">
      <formula>$O$41</formula>
      <formula>$Q$41</formula>
    </cfRule>
  </conditionalFormatting>
  <conditionalFormatting sqref="C42:L42">
    <cfRule type="cellIs" priority="14" operator="greaterThanOrEqual" dxfId="2" stopIfTrue="1">
      <formula>$Q$42</formula>
    </cfRule>
    <cfRule type="cellIs" priority="15" operator="between" dxfId="0" stopIfTrue="1">
      <formula>$O$42</formula>
      <formula>$Q$42</formula>
    </cfRule>
  </conditionalFormatting>
  <conditionalFormatting sqref="C46:L46">
    <cfRule type="cellIs" priority="12" operator="greaterThanOrEqual" dxfId="2" stopIfTrue="1">
      <formula>$Q$46</formula>
    </cfRule>
    <cfRule type="cellIs" priority="13" operator="between" dxfId="0" stopIfTrue="1">
      <formula>$O$46</formula>
      <formula>$Q$46</formula>
    </cfRule>
  </conditionalFormatting>
  <conditionalFormatting sqref="C47:L47">
    <cfRule type="cellIs" priority="49" operator="between" dxfId="0" stopIfTrue="1">
      <formula>$O$47</formula>
      <formula>$Q$47</formula>
    </cfRule>
    <cfRule type="cellIs" priority="48" operator="greaterThanOrEqual" dxfId="2" stopIfTrue="1">
      <formula>$Q$47</formula>
    </cfRule>
  </conditionalFormatting>
  <conditionalFormatting sqref="C48:L48">
    <cfRule type="cellIs" priority="50" operator="greaterThanOrEqual" dxfId="2" stopIfTrue="1">
      <formula>$Q$48</formula>
    </cfRule>
    <cfRule type="cellIs" priority="51" operator="between" dxfId="0" stopIfTrue="1">
      <formula>$O$48</formula>
      <formula>$Q$48</formula>
    </cfRule>
  </conditionalFormatting>
  <conditionalFormatting sqref="C49:L49">
    <cfRule type="cellIs" priority="46" operator="greaterThanOrEqual" dxfId="2" stopIfTrue="1">
      <formula>$Q$49</formula>
    </cfRule>
    <cfRule type="cellIs" priority="47" operator="between" dxfId="0" stopIfTrue="1">
      <formula>$O$49</formula>
      <formula>$Q$49</formula>
    </cfRule>
  </conditionalFormatting>
  <conditionalFormatting sqref="C50:L50">
    <cfRule type="cellIs" priority="44" operator="greaterThanOrEqual" dxfId="2" stopIfTrue="1">
      <formula>$Q$50</formula>
    </cfRule>
    <cfRule type="cellIs" priority="45" operator="between" dxfId="0" stopIfTrue="1">
      <formula>$O$50</formula>
      <formula>$Q$50</formula>
    </cfRule>
  </conditionalFormatting>
  <conditionalFormatting sqref="C51:L51">
    <cfRule type="cellIs" priority="42" operator="greaterThanOrEqual" dxfId="2" stopIfTrue="1">
      <formula>$Q$51</formula>
    </cfRule>
    <cfRule type="cellIs" priority="43" operator="between" dxfId="0" stopIfTrue="1">
      <formula>$O$51</formula>
      <formula>$Q$51</formula>
    </cfRule>
  </conditionalFormatting>
  <conditionalFormatting sqref="C55:L55">
    <cfRule type="cellIs" priority="37" operator="greaterThanOrEqual" dxfId="2" stopIfTrue="1">
      <formula>$Q$55</formula>
    </cfRule>
  </conditionalFormatting>
  <conditionalFormatting sqref="C56:L56">
    <cfRule type="cellIs" priority="36" operator="greaterThanOrEqual" dxfId="2" stopIfTrue="1">
      <formula>$Q$56</formula>
    </cfRule>
  </conditionalFormatting>
  <conditionalFormatting sqref="C57:L57">
    <cfRule type="cellIs" priority="35" operator="greaterThanOrEqual" dxfId="2" stopIfTrue="1">
      <formula>$Q$57</formula>
    </cfRule>
  </conditionalFormatting>
  <conditionalFormatting sqref="C58:L58">
    <cfRule type="cellIs" priority="33" operator="greaterThanOrEqual" dxfId="2" stopIfTrue="1">
      <formula>$Q$58</formula>
    </cfRule>
  </conditionalFormatting>
  <conditionalFormatting sqref="C59:L59">
    <cfRule type="cellIs" priority="34" operator="greaterThanOrEqual" dxfId="2" stopIfTrue="1">
      <formula>$Q$59</formula>
    </cfRule>
  </conditionalFormatting>
  <conditionalFormatting sqref="S3">
    <cfRule type="containsText" priority="18" operator="containsText" dxfId="3" stopIfTrue="1" text="SIN EVALUACIÓN">
      <formula>NOT(ISERROR(SEARCH("SIN EVALUACIÓN",S3)))</formula>
    </cfRule>
    <cfRule type="containsText" priority="21" operator="containsText" dxfId="2" stopIfTrue="1" text="PARÁMETROS ANORMALES">
      <formula>NOT(ISERROR(SEARCH("PARÁMETROS ANORMALES",S3)))</formula>
    </cfRule>
    <cfRule type="containsText" priority="20" operator="containsText" dxfId="1" stopIfTrue="1" text="PARÁMETROS NORMALES">
      <formula>NOT(ISERROR(SEARCH("PARÁMETROS NORMALES",S3)))</formula>
    </cfRule>
    <cfRule type="containsText" priority="19" operator="containsText" dxfId="0" stopIfTrue="1" text="PRECAUCIÓN">
      <formula>NOT(ISERROR(SEARCH("PRECAUCIÓN",S3)))</formula>
    </cfRule>
  </conditionalFormatting>
  <conditionalFormatting sqref="X21:AB21">
    <cfRule type="iconSet" priority="60">
      <iconSet iconSet="3Arrows">
        <cfvo type="percent" val="0"/>
        <cfvo type="percent" val="33"/>
        <cfvo type="percent" val="67"/>
      </iconSet>
    </cfRule>
  </conditionalFormatting>
  <conditionalFormatting sqref="X31:AB31">
    <cfRule type="iconSet" priority="59">
      <iconSet iconSet="3Arrows">
        <cfvo type="percent" val="0"/>
        <cfvo type="percent" val="33"/>
        <cfvo type="percent" val="67"/>
      </iconSet>
    </cfRule>
  </conditionalFormatting>
  <dataValidations count="4">
    <dataValidation sqref="S3" showDropDown="0" showInputMessage="1" showErrorMessage="1" allowBlank="1" type="list">
      <formula1>"PARÁMETROS NORMALES,PRECAUCIÓN,PARÁMETROS ANORMALES,SIN EVALUACIÓN"</formula1>
    </dataValidation>
    <dataValidation sqref="L2" showDropDown="0" showInputMessage="1" showErrorMessage="1" allowBlank="1" error="PARAMETROS FUERA DEL LIMITE CONDENATORIO_x000a_"/>
    <dataValidation sqref="C18:L18" showDropDown="0" showInputMessage="1" showErrorMessage="1" allowBlank="1" type="list">
      <formula1>"NORMAL,PRECAUCIÓN,ANORMAL,N/D"</formula1>
    </dataValidation>
    <dataValidation sqref="C26:L26 C28:L28" showDropDown="0" showInputMessage="1" showErrorMessage="1" allowBlank="1" type="list">
      <formula1>"NEGATIVO, POSITIVO"</formula1>
    </dataValidation>
  </dataValidations>
  <pageMargins left="0" right="0" top="0" bottom="0" header="0" footer="0"/>
  <pageSetup orientation="landscape" scale="42"/>
  <colBreaks count="1" manualBreakCount="1">
    <brk id="23" min="0" max="1048575" man="1"/>
  </colBreak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H75"/>
  <sheetViews>
    <sheetView showGridLines="0" view="pageBreakPreview" topLeftCell="A49" zoomScale="70" zoomScaleNormal="100" zoomScaleSheetLayoutView="70" workbookViewId="0">
      <selection activeCell="G40" sqref="G40"/>
    </sheetView>
  </sheetViews>
  <sheetFormatPr baseColWidth="10" defaultRowHeight="12"/>
  <cols>
    <col width="3.5703125" customWidth="1" style="140" min="1" max="1"/>
    <col width="54" customWidth="1" style="140" min="2" max="2"/>
    <col width="14.85546875" customWidth="1" style="140" min="3" max="12"/>
    <col width="2.140625" customWidth="1" style="140" min="13" max="13"/>
    <col width="4" customWidth="1" style="140" min="14" max="14"/>
    <col width="6.85546875" customWidth="1" style="140" min="15" max="15"/>
    <col width="4.140625" customWidth="1" style="140" min="16" max="16"/>
    <col width="6.7109375" customWidth="1" style="140" min="17" max="17"/>
    <col width="6.5703125" customWidth="1" style="140" min="18" max="18"/>
    <col width="22.42578125" customWidth="1" style="140" min="19" max="19"/>
    <col width="15.28515625" customWidth="1" style="140" min="20" max="23"/>
    <col width="11.42578125" customWidth="1" style="140" min="24" max="16384"/>
  </cols>
  <sheetData>
    <row r="1" ht="27.95" customHeight="1" thickBot="1">
      <c r="A1" s="424" t="inlineStr">
        <is>
          <t>REPORTE DE ANÁLISIS DE LUBRICANTE</t>
        </is>
      </c>
      <c r="B1" s="425" t="n"/>
      <c r="C1" s="425" t="n"/>
      <c r="D1" s="425" t="n"/>
      <c r="E1" s="425" t="n"/>
      <c r="F1" s="425" t="n"/>
      <c r="G1" s="425" t="n"/>
      <c r="H1" s="425" t="n"/>
      <c r="I1" s="425" t="n"/>
      <c r="J1" s="425" t="n"/>
      <c r="K1" s="425" t="n"/>
      <c r="L1" s="425" t="n"/>
      <c r="M1" s="425" t="n"/>
      <c r="N1" s="425" t="n"/>
      <c r="O1" s="425" t="n"/>
      <c r="P1" s="425" t="n"/>
      <c r="Q1" s="425" t="n"/>
      <c r="R1" s="425" t="n"/>
      <c r="S1" s="425" t="n"/>
      <c r="T1" s="425" t="n"/>
      <c r="U1" s="425" t="n"/>
      <c r="V1" s="425" t="n"/>
      <c r="W1" s="426" t="n"/>
    </row>
    <row r="2" ht="24" customHeight="1" thickBot="1">
      <c r="A2" s="427" t="n"/>
      <c r="B2" s="428" t="n"/>
      <c r="C2" s="429" t="inlineStr">
        <is>
          <t>NOMBRE DEL CLIENTE:</t>
        </is>
      </c>
      <c r="D2" s="430" t="n"/>
      <c r="E2" s="430" t="n"/>
      <c r="F2" s="430" t="n"/>
      <c r="G2" s="428" t="n"/>
      <c r="H2" s="311" t="inlineStr">
        <is>
          <t>Compartimento:</t>
        </is>
      </c>
      <c r="I2" s="431" t="n"/>
      <c r="J2" s="431" t="n"/>
      <c r="K2" s="432" t="n"/>
      <c r="L2" s="328">
        <f>Datos!A329</f>
        <v/>
      </c>
      <c r="M2" s="431" t="n"/>
      <c r="N2" s="431" t="n"/>
      <c r="O2" s="431" t="n"/>
      <c r="P2" s="431" t="n"/>
      <c r="Q2" s="431" t="n"/>
      <c r="R2" s="432" t="n"/>
      <c r="S2" s="433" t="inlineStr">
        <is>
          <t>Diagnóstico de la última muestra:</t>
        </is>
      </c>
      <c r="T2" s="425" t="n"/>
      <c r="U2" s="425" t="n"/>
      <c r="V2" s="425" t="n"/>
      <c r="W2" s="426" t="n"/>
      <c r="X2" s="141" t="n"/>
      <c r="Y2" s="141" t="n"/>
      <c r="Z2" s="141" t="n"/>
      <c r="AA2" s="141" t="inlineStr">
        <is>
          <t>TANDEM IZQUIERDO</t>
        </is>
      </c>
      <c r="AB2" s="141" t="n"/>
    </row>
    <row r="3" ht="24" customHeight="1">
      <c r="A3" s="151" t="n"/>
      <c r="B3" s="434" t="n"/>
      <c r="C3" s="435" t="n"/>
      <c r="D3" s="141" t="n"/>
      <c r="E3" s="141" t="n"/>
      <c r="F3" s="141" t="n"/>
      <c r="G3" s="434" t="n"/>
      <c r="H3" s="317" t="inlineStr">
        <is>
          <t>Equipo:</t>
        </is>
      </c>
      <c r="I3" s="436" t="n"/>
      <c r="J3" s="436" t="n"/>
      <c r="K3" s="437" t="n"/>
      <c r="L3" s="210">
        <f>MOTOR!AA3</f>
        <v/>
      </c>
      <c r="M3" s="399" t="n"/>
      <c r="N3" s="399" t="n"/>
      <c r="O3" s="399" t="n"/>
      <c r="P3" s="399" t="n"/>
      <c r="Q3" s="399" t="n"/>
      <c r="R3" s="400" t="n"/>
      <c r="S3" s="438" t="inlineStr">
        <is>
          <t>SIN EVALUACIÓN</t>
        </is>
      </c>
      <c r="T3" s="430" t="n"/>
      <c r="U3" s="430" t="n"/>
      <c r="V3" s="430" t="n"/>
      <c r="W3" s="439" t="n"/>
      <c r="X3" s="141" t="n"/>
      <c r="Y3" s="141" t="n"/>
      <c r="Z3" s="141" t="n"/>
      <c r="AA3" s="141" t="inlineStr">
        <is>
          <t>UG 00</t>
        </is>
      </c>
      <c r="AB3" s="141" t="n"/>
      <c r="AH3" t="inlineStr">
        <is>
          <t>SIN EVALUACION</t>
        </is>
      </c>
    </row>
    <row r="4" ht="24" customHeight="1" thickBot="1">
      <c r="A4" s="151" t="n"/>
      <c r="B4" s="434" t="n"/>
      <c r="C4" s="404" t="inlineStr">
        <is>
          <t>JUSTICE COMPANY</t>
        </is>
      </c>
      <c r="G4" s="397" t="n"/>
      <c r="H4" s="317" t="inlineStr">
        <is>
          <t>Marca:</t>
        </is>
      </c>
      <c r="I4" s="436" t="n"/>
      <c r="J4" s="436" t="n"/>
      <c r="K4" s="437" t="n"/>
      <c r="L4" s="210">
        <f>MOTOR!AA4</f>
        <v/>
      </c>
      <c r="M4" s="399" t="n"/>
      <c r="N4" s="399" t="n"/>
      <c r="O4" s="399" t="n"/>
      <c r="P4" s="399" t="n"/>
      <c r="Q4" s="399" t="n"/>
      <c r="R4" s="400" t="n"/>
      <c r="S4" s="440" t="n"/>
      <c r="T4" s="187" t="n"/>
      <c r="U4" s="187" t="n"/>
      <c r="V4" s="187" t="n"/>
      <c r="W4" s="441" t="n"/>
      <c r="X4" s="141" t="n"/>
      <c r="Y4" s="141" t="n"/>
      <c r="Z4" s="141" t="n"/>
      <c r="AA4" s="141" t="inlineStr">
        <is>
          <t>MARCA EQUIPO</t>
        </is>
      </c>
      <c r="AB4" s="141" t="n"/>
    </row>
    <row r="5" ht="24" customHeight="1">
      <c r="A5" s="151" t="n"/>
      <c r="B5" s="434" t="n"/>
      <c r="C5" s="398" t="n"/>
      <c r="G5" s="397" t="n"/>
      <c r="H5" s="317" t="inlineStr">
        <is>
          <t>Serie:</t>
        </is>
      </c>
      <c r="I5" s="436" t="n"/>
      <c r="J5" s="436" t="n"/>
      <c r="K5" s="437" t="n"/>
      <c r="L5" s="210">
        <f>MOTOR!AA5</f>
        <v/>
      </c>
      <c r="M5" s="399" t="n"/>
      <c r="N5" s="399" t="n"/>
      <c r="O5" s="399" t="n"/>
      <c r="P5" s="399" t="n"/>
      <c r="Q5" s="399" t="n"/>
      <c r="R5" s="400" t="n"/>
      <c r="S5" s="442" t="n"/>
      <c r="T5" s="430" t="n"/>
      <c r="U5" s="430" t="n"/>
      <c r="V5" s="430" t="n"/>
      <c r="W5" s="439" t="n"/>
      <c r="X5" s="141" t="n"/>
      <c r="Y5" s="141" t="n"/>
      <c r="Z5" s="141" t="n"/>
      <c r="AA5" s="141" t="inlineStr">
        <is>
          <t>SERIE</t>
        </is>
      </c>
      <c r="AB5" s="141" t="n"/>
    </row>
    <row r="6" ht="24" customHeight="1">
      <c r="A6" s="151" t="n"/>
      <c r="B6" s="434" t="n"/>
      <c r="C6" s="398" t="n"/>
      <c r="G6" s="397" t="n"/>
      <c r="H6" s="317" t="inlineStr">
        <is>
          <t>Modelo:</t>
        </is>
      </c>
      <c r="I6" s="436" t="n"/>
      <c r="J6" s="436" t="n"/>
      <c r="K6" s="437" t="n"/>
      <c r="L6" s="210">
        <f>MOTOR!AA6</f>
        <v/>
      </c>
      <c r="M6" s="399" t="n"/>
      <c r="N6" s="399" t="n"/>
      <c r="O6" s="399" t="n"/>
      <c r="P6" s="399" t="n"/>
      <c r="Q6" s="399" t="n"/>
      <c r="R6" s="400" t="n"/>
      <c r="S6" s="151" t="n"/>
      <c r="T6" s="141" t="n"/>
      <c r="U6" s="141" t="n"/>
      <c r="V6" s="141" t="n"/>
      <c r="W6" s="152" t="n"/>
      <c r="X6" s="141" t="n"/>
      <c r="Y6" s="141" t="n"/>
      <c r="Z6" s="141" t="n"/>
      <c r="AA6" s="141" t="inlineStr">
        <is>
          <t>MODELO</t>
        </is>
      </c>
      <c r="AB6" s="141" t="n"/>
    </row>
    <row r="7" ht="24" customHeight="1">
      <c r="A7" s="151" t="n"/>
      <c r="B7" s="434" t="n"/>
      <c r="C7" s="398" t="n"/>
      <c r="G7" s="397" t="n"/>
      <c r="H7" s="317" t="inlineStr">
        <is>
          <t>Lubricante:</t>
        </is>
      </c>
      <c r="I7" s="436" t="n"/>
      <c r="J7" s="436" t="n"/>
      <c r="K7" s="437" t="n"/>
      <c r="L7" s="330" t="n"/>
      <c r="M7" s="436" t="n"/>
      <c r="N7" s="436" t="n"/>
      <c r="O7" s="436" t="n"/>
      <c r="P7" s="436" t="n"/>
      <c r="Q7" s="436" t="n"/>
      <c r="R7" s="437" t="n"/>
      <c r="S7" s="151" t="n"/>
      <c r="T7" s="141" t="n"/>
      <c r="U7" s="141" t="n"/>
      <c r="V7" s="141" t="n"/>
      <c r="W7" s="152" t="n"/>
      <c r="X7" s="141" t="n"/>
      <c r="Y7" s="141" t="n"/>
      <c r="Z7" s="141" t="n"/>
      <c r="AA7" s="141" t="inlineStr">
        <is>
          <t>15W40</t>
        </is>
      </c>
      <c r="AB7" s="141" t="n"/>
    </row>
    <row r="8" ht="24" customHeight="1" thickBot="1">
      <c r="A8" s="440" t="n"/>
      <c r="B8" s="443" t="n"/>
      <c r="C8" s="409" t="n"/>
      <c r="D8" s="73" t="n"/>
      <c r="E8" s="73" t="n"/>
      <c r="F8" s="73" t="n"/>
      <c r="G8" s="408" t="n"/>
      <c r="H8" s="283" t="inlineStr">
        <is>
          <t xml:space="preserve">Marca del Lubricante: </t>
        </is>
      </c>
      <c r="I8" s="444" t="n"/>
      <c r="J8" s="444" t="n"/>
      <c r="K8" s="445" t="n"/>
      <c r="L8" s="326" t="n"/>
      <c r="M8" s="444" t="n"/>
      <c r="N8" s="444" t="n"/>
      <c r="O8" s="444" t="n"/>
      <c r="P8" s="444" t="n"/>
      <c r="Q8" s="444" t="n"/>
      <c r="R8" s="445" t="n"/>
      <c r="S8" s="440" t="n"/>
      <c r="T8" s="187" t="n"/>
      <c r="U8" s="187" t="n"/>
      <c r="V8" s="187" t="n"/>
      <c r="W8" s="441" t="n"/>
      <c r="X8" s="141" t="n"/>
      <c r="Y8" s="141" t="n"/>
      <c r="Z8" s="141" t="n"/>
      <c r="AA8" s="141" t="inlineStr">
        <is>
          <t>GULF</t>
        </is>
      </c>
      <c r="AB8" s="141" t="n"/>
    </row>
    <row r="9" ht="15.75" customHeight="1">
      <c r="A9" s="142" t="n"/>
      <c r="B9" s="286" t="n"/>
      <c r="C9" s="141" t="n"/>
      <c r="D9" s="141" t="n"/>
      <c r="E9" s="141" t="n"/>
      <c r="F9" s="141" t="n"/>
      <c r="G9" s="141" t="n"/>
      <c r="H9" s="141" t="n"/>
      <c r="I9" s="141" t="n"/>
      <c r="J9" s="141" t="n"/>
      <c r="K9" s="141" t="n"/>
      <c r="L9" s="141" t="n"/>
      <c r="M9" s="141" t="n"/>
      <c r="N9" s="141" t="n"/>
      <c r="O9" s="141" t="n"/>
      <c r="P9" s="286" t="n"/>
      <c r="Q9" s="144" t="n"/>
      <c r="R9" s="145" t="n"/>
      <c r="S9" s="146" t="n"/>
      <c r="T9" s="147" t="n"/>
      <c r="U9" s="147" t="n"/>
      <c r="V9" s="147" t="n"/>
      <c r="W9" s="148" t="n"/>
      <c r="X9" s="141" t="n"/>
      <c r="Y9" s="141" t="n"/>
      <c r="Z9" s="141" t="n"/>
      <c r="AA9" s="141" t="n"/>
      <c r="AB9" s="141" t="n"/>
    </row>
    <row r="10" ht="15.75" customHeight="1">
      <c r="A10" s="142" t="n"/>
      <c r="B10" s="275" t="inlineStr">
        <is>
          <t>INFORMACIÓN DE LA MUESTRA</t>
        </is>
      </c>
      <c r="C10" s="446" t="n"/>
      <c r="D10" s="446" t="n"/>
      <c r="E10" s="446" t="n"/>
      <c r="F10" s="446" t="n"/>
      <c r="G10" s="446" t="n"/>
      <c r="H10" s="446" t="n"/>
      <c r="I10" s="446" t="n"/>
      <c r="J10" s="446" t="n"/>
      <c r="K10" s="446" t="n"/>
      <c r="L10" s="447" t="n"/>
      <c r="M10" s="144" t="n"/>
      <c r="N10" s="144" t="n"/>
      <c r="O10" s="144" t="n"/>
      <c r="P10" s="144" t="n"/>
      <c r="Q10" s="144" t="n"/>
      <c r="R10" s="145" t="n"/>
      <c r="S10" s="146" t="n"/>
      <c r="T10" s="147" t="n"/>
      <c r="U10" s="147" t="n"/>
      <c r="V10" s="147" t="n"/>
      <c r="W10" s="148" t="n"/>
      <c r="X10" s="141" t="n"/>
      <c r="Y10" s="141" t="n"/>
      <c r="Z10" s="141" t="n"/>
      <c r="AA10" s="141" t="n"/>
      <c r="AB10" s="141" t="n"/>
    </row>
    <row r="11" ht="15" customHeight="1">
      <c r="A11" s="142" t="n"/>
      <c r="B11" s="448" t="n"/>
      <c r="C11" s="449" t="n"/>
      <c r="D11" s="449" t="n"/>
      <c r="E11" s="449" t="n"/>
      <c r="F11" s="449" t="n"/>
      <c r="G11" s="449" t="n"/>
      <c r="H11" s="449" t="n"/>
      <c r="I11" s="449" t="n"/>
      <c r="J11" s="449" t="n"/>
      <c r="K11" s="449" t="n"/>
      <c r="L11" s="450" t="n"/>
      <c r="M11" s="149" t="n"/>
      <c r="N11" s="149" t="n"/>
      <c r="O11" s="149" t="n"/>
      <c r="P11" s="149" t="n"/>
      <c r="Q11" s="149" t="n"/>
      <c r="R11" s="150" t="n"/>
      <c r="S11" s="151" t="n"/>
      <c r="T11" s="141" t="n"/>
      <c r="U11" s="141" t="n"/>
      <c r="V11" s="141" t="n"/>
      <c r="W11" s="152" t="n"/>
      <c r="X11" s="141" t="n"/>
      <c r="Y11" s="141" t="n"/>
      <c r="Z11" s="141" t="n"/>
      <c r="AA11" s="141" t="n"/>
      <c r="AB11" s="141" t="n"/>
    </row>
    <row r="12" ht="18" customHeight="1">
      <c r="A12" s="142" t="n"/>
      <c r="B12" s="153" t="inlineStr">
        <is>
          <t>Numeración de Muestra</t>
        </is>
      </c>
      <c r="C12" s="154" t="inlineStr">
        <is>
          <t>MUESTRA-001</t>
        </is>
      </c>
      <c r="D12" s="154" t="n"/>
      <c r="E12" s="154" t="n"/>
      <c r="F12" s="154" t="n"/>
      <c r="G12" s="154" t="n"/>
      <c r="H12" s="154" t="n"/>
      <c r="I12" s="154" t="n"/>
      <c r="J12" s="154" t="n"/>
      <c r="K12" s="154" t="n"/>
      <c r="L12" s="154" t="n"/>
      <c r="R12" s="155" t="n"/>
      <c r="S12" s="151" t="n"/>
      <c r="T12" s="141" t="n"/>
      <c r="U12" s="141" t="n"/>
      <c r="V12" s="141" t="n"/>
      <c r="W12" s="152" t="n"/>
      <c r="X12" s="141" t="n"/>
      <c r="Y12" s="141" t="n"/>
      <c r="Z12" s="141" t="n"/>
      <c r="AA12" s="141" t="n"/>
      <c r="AB12" s="141" t="n"/>
    </row>
    <row r="13" ht="18" customHeight="1">
      <c r="A13" s="142" t="n"/>
      <c r="B13" s="153" t="inlineStr">
        <is>
          <t>Fecha de Muestreo</t>
        </is>
      </c>
      <c r="C13" s="451" t="inlineStr">
        <is>
          <t>2026-03-28</t>
        </is>
      </c>
      <c r="D13" s="451" t="n"/>
      <c r="E13" s="451" t="n"/>
      <c r="F13" s="451" t="n"/>
      <c r="G13" s="451" t="n"/>
      <c r="H13" s="451" t="n"/>
      <c r="I13" s="451" t="n"/>
      <c r="J13" s="451" t="n"/>
      <c r="K13" s="451" t="n"/>
      <c r="L13" s="451" t="n"/>
      <c r="R13" s="155" t="n"/>
      <c r="S13" s="151" t="n"/>
      <c r="T13" s="141" t="n"/>
      <c r="U13" s="141" t="n"/>
      <c r="V13" s="141" t="n"/>
      <c r="W13" s="152" t="n"/>
      <c r="X13" s="141" t="n"/>
      <c r="Y13" s="141" t="n"/>
      <c r="Z13" s="141" t="n"/>
      <c r="AA13" s="141" t="n"/>
      <c r="AB13" s="141" t="n"/>
    </row>
    <row r="14" ht="15.75" customHeight="1">
      <c r="A14" s="142" t="n"/>
      <c r="B14" s="153" t="inlineStr">
        <is>
          <t>Fecha de Ingreso</t>
        </is>
      </c>
      <c r="C14" s="451" t="inlineStr">
        <is>
          <t>2026-03-29</t>
        </is>
      </c>
      <c r="D14" s="451" t="n"/>
      <c r="E14" s="451" t="n"/>
      <c r="F14" s="451" t="n"/>
      <c r="G14" s="451" t="n"/>
      <c r="H14" s="451" t="n"/>
      <c r="I14" s="451" t="n"/>
      <c r="J14" s="451" t="n"/>
      <c r="K14" s="451" t="n"/>
      <c r="L14" s="451" t="n"/>
      <c r="R14" s="155" t="n"/>
      <c r="S14" s="151" t="n"/>
      <c r="T14" s="141" t="n"/>
      <c r="U14" s="141" t="n"/>
      <c r="V14" s="141" t="n"/>
      <c r="W14" s="152" t="n"/>
      <c r="X14" s="141" t="n"/>
      <c r="Y14" s="141" t="n"/>
      <c r="Z14" s="141" t="n"/>
      <c r="AA14" s="141" t="n"/>
      <c r="AB14" s="141" t="n"/>
    </row>
    <row r="15" ht="18" customHeight="1">
      <c r="A15" s="142" t="n"/>
      <c r="B15" s="153" t="inlineStr">
        <is>
          <t>Fecha de Informe</t>
        </is>
      </c>
      <c r="C15" s="451" t="inlineStr">
        <is>
          <t>2026-03-30</t>
        </is>
      </c>
      <c r="D15" s="451" t="n"/>
      <c r="E15" s="451" t="n"/>
      <c r="F15" s="451" t="n"/>
      <c r="G15" s="451" t="n"/>
      <c r="H15" s="451" t="n"/>
      <c r="I15" s="451" t="n"/>
      <c r="J15" s="451" t="n"/>
      <c r="K15" s="451" t="n"/>
      <c r="L15" s="451" t="n"/>
      <c r="R15" s="155" t="n"/>
      <c r="S15" s="151" t="n"/>
      <c r="T15" s="141" t="n"/>
      <c r="U15" s="141" t="n"/>
      <c r="V15" s="141" t="n"/>
      <c r="W15" s="152" t="n"/>
      <c r="X15" s="141" t="n"/>
      <c r="Y15" s="141" t="n"/>
      <c r="Z15" s="141" t="n"/>
      <c r="AA15" s="141" t="n"/>
      <c r="AB15" s="141" t="n"/>
    </row>
    <row r="16" ht="18" customHeight="1">
      <c r="A16" s="142" t="n"/>
      <c r="B16" s="153" t="inlineStr">
        <is>
          <t>Equipo Hrs/ Km</t>
        </is>
      </c>
      <c r="C16" s="154" t="n">
        <v>12000</v>
      </c>
      <c r="D16" s="154" t="n"/>
      <c r="E16" s="154" t="n"/>
      <c r="F16" s="154" t="n"/>
      <c r="G16" s="154" t="n"/>
      <c r="H16" s="154" t="n"/>
      <c r="I16" s="154" t="n"/>
      <c r="J16" s="154" t="n"/>
      <c r="K16" s="154" t="n"/>
      <c r="L16" s="154" t="n"/>
      <c r="R16" s="155" t="n"/>
      <c r="S16" s="151" t="n"/>
      <c r="T16" s="141" t="n"/>
      <c r="U16" s="141" t="n"/>
      <c r="V16" s="141" t="n"/>
      <c r="W16" s="152" t="n"/>
      <c r="X16" s="141" t="n"/>
      <c r="Y16" s="141" t="n"/>
      <c r="Z16" s="141" t="n"/>
      <c r="AA16" s="141" t="n"/>
      <c r="AB16" s="141" t="n"/>
    </row>
    <row r="17" ht="18" customHeight="1">
      <c r="A17" s="142" t="n"/>
      <c r="B17" s="153" t="inlineStr">
        <is>
          <t>Aceite Hrs/ Km</t>
        </is>
      </c>
      <c r="C17" s="154" t="n">
        <v>320</v>
      </c>
      <c r="D17" s="154" t="n"/>
      <c r="E17" s="154" t="n"/>
      <c r="F17" s="154" t="n"/>
      <c r="G17" s="154" t="n"/>
      <c r="H17" s="154" t="n"/>
      <c r="I17" s="154" t="n"/>
      <c r="J17" s="154" t="n"/>
      <c r="K17" s="154" t="n"/>
      <c r="L17" s="154" t="n"/>
      <c r="R17" s="155" t="n"/>
      <c r="S17" s="151" t="n"/>
      <c r="T17" s="141" t="n"/>
      <c r="U17" s="141" t="n"/>
      <c r="V17" s="141" t="n"/>
      <c r="W17" s="152" t="n"/>
      <c r="X17" s="141" t="n"/>
      <c r="Y17" s="141" t="n"/>
      <c r="Z17" s="141" t="n"/>
      <c r="AA17" s="141" t="n"/>
      <c r="AB17" s="141" t="n"/>
    </row>
    <row r="18" ht="18" customHeight="1">
      <c r="A18" s="142" t="n"/>
      <c r="B18" s="153" t="inlineStr">
        <is>
          <t>Condición</t>
        </is>
      </c>
      <c r="C18" s="157" t="inlineStr">
        <is>
          <t>NORMAL</t>
        </is>
      </c>
      <c r="D18" s="157" t="n"/>
      <c r="E18" s="157" t="n"/>
      <c r="F18" s="157" t="n"/>
      <c r="G18" s="157" t="n"/>
      <c r="H18" s="157" t="n"/>
      <c r="I18" s="157" t="n"/>
      <c r="J18" s="157" t="n"/>
      <c r="K18" s="157" t="n"/>
      <c r="L18" s="157" t="n"/>
      <c r="R18" s="155" t="n"/>
      <c r="S18" s="151" t="n"/>
      <c r="T18" s="141" t="n"/>
      <c r="U18" s="141" t="n"/>
      <c r="V18" s="141" t="n"/>
      <c r="W18" s="152" t="n"/>
      <c r="X18" s="141" t="n"/>
      <c r="Y18" s="141" t="n"/>
      <c r="Z18" s="141" t="n"/>
      <c r="AA18" s="141" t="n"/>
      <c r="AB18" s="141" t="n"/>
    </row>
    <row r="19" ht="18" customHeight="1">
      <c r="A19" s="142" t="n"/>
      <c r="B19" s="158" t="n"/>
      <c r="C19" s="158" t="n"/>
      <c r="D19" s="158" t="n"/>
      <c r="E19" s="158" t="n"/>
      <c r="F19" s="158" t="n"/>
      <c r="G19" s="158" t="n"/>
      <c r="H19" s="158" t="n"/>
      <c r="I19" s="158" t="n"/>
      <c r="J19" s="158" t="n"/>
      <c r="K19" s="158" t="n"/>
      <c r="L19" s="158" t="n"/>
      <c r="R19" s="155" t="n"/>
      <c r="S19" s="151" t="n"/>
      <c r="T19" s="141" t="n"/>
      <c r="U19" s="141" t="n"/>
      <c r="V19" s="141" t="n"/>
      <c r="W19" s="152" t="n"/>
      <c r="X19" s="141" t="n"/>
      <c r="Y19" s="141" t="n"/>
      <c r="Z19" s="141" t="n"/>
      <c r="AA19" s="141" t="n"/>
      <c r="AB19" s="141" t="n"/>
    </row>
    <row r="20" ht="18" customHeight="1">
      <c r="A20" s="142" t="n"/>
      <c r="B20" s="275" t="inlineStr">
        <is>
          <t>ESTADO DEL LUBRICANTE</t>
        </is>
      </c>
      <c r="C20" s="446" t="n"/>
      <c r="D20" s="446" t="n"/>
      <c r="E20" s="446" t="n"/>
      <c r="F20" s="446" t="n"/>
      <c r="G20" s="446" t="n"/>
      <c r="H20" s="446" t="n"/>
      <c r="I20" s="446" t="n"/>
      <c r="J20" s="446" t="n"/>
      <c r="K20" s="446" t="n"/>
      <c r="L20" s="447" t="n"/>
      <c r="N20" s="276" t="inlineStr">
        <is>
          <t>* Rangos Generales</t>
        </is>
      </c>
      <c r="O20" s="436" t="n"/>
      <c r="P20" s="436" t="n"/>
      <c r="Q20" s="437" t="n"/>
      <c r="R20" s="155" t="n"/>
      <c r="S20" s="151" t="n"/>
      <c r="T20" s="141" t="n"/>
      <c r="U20" s="141" t="n"/>
      <c r="V20" s="141" t="n"/>
      <c r="W20" s="152" t="n"/>
      <c r="X20" s="141" t="n"/>
      <c r="Y20" s="141" t="n"/>
      <c r="Z20" s="141" t="n"/>
      <c r="AA20" s="141" t="n"/>
      <c r="AB20" s="141" t="n"/>
    </row>
    <row r="21" ht="18" customHeight="1">
      <c r="A21" s="142" t="n"/>
      <c r="B21" s="448" t="n"/>
      <c r="C21" s="449" t="n"/>
      <c r="D21" s="449" t="n"/>
      <c r="E21" s="449" t="n"/>
      <c r="F21" s="449" t="n"/>
      <c r="G21" s="449" t="n"/>
      <c r="H21" s="449" t="n"/>
      <c r="I21" s="449" t="n"/>
      <c r="J21" s="449" t="n"/>
      <c r="K21" s="449" t="n"/>
      <c r="L21" s="450" t="n"/>
      <c r="M21" s="149" t="n"/>
      <c r="N21" s="276" t="inlineStr">
        <is>
          <t>Precaución</t>
        </is>
      </c>
      <c r="O21" s="437" t="n"/>
      <c r="P21" s="276" t="inlineStr">
        <is>
          <t>Anormal</t>
        </is>
      </c>
      <c r="Q21" s="437" t="n"/>
      <c r="R21" s="155" t="n"/>
      <c r="S21" s="151" t="n"/>
      <c r="T21" s="141" t="n"/>
      <c r="U21" s="141" t="n"/>
      <c r="V21" s="141" t="n"/>
      <c r="W21" s="152" t="n"/>
      <c r="X21" s="286" t="n"/>
      <c r="Y21" s="286" t="n"/>
      <c r="Z21" s="286" t="n"/>
      <c r="AA21" s="286" t="n"/>
      <c r="AB21" s="286" t="n"/>
    </row>
    <row r="22" hidden="1" ht="15.75" customHeight="1">
      <c r="A22" s="142" t="n"/>
      <c r="B22" s="153" t="inlineStr">
        <is>
          <t>Viscosidad a 100ºC, cSt</t>
        </is>
      </c>
      <c r="C22" s="452" t="n">
        <v>0</v>
      </c>
      <c r="D22" s="452" t="n"/>
      <c r="E22" s="452" t="n"/>
      <c r="F22" s="452" t="n"/>
      <c r="G22" s="452" t="n"/>
      <c r="H22" s="452" t="n"/>
      <c r="I22" s="452" t="n"/>
      <c r="J22" s="452" t="n"/>
      <c r="K22" s="452" t="n"/>
      <c r="L22" s="452" t="n"/>
      <c r="M22" s="149" t="n"/>
      <c r="N22" s="160" t="n"/>
      <c r="O22" s="453" t="n"/>
      <c r="P22" s="162" t="n"/>
      <c r="Q22" s="453" t="n"/>
      <c r="R22" s="155" t="n"/>
      <c r="S22" s="151" t="n"/>
      <c r="T22" s="141" t="n"/>
      <c r="U22" s="141" t="n"/>
      <c r="V22" s="141" t="n"/>
      <c r="W22" s="152" t="n"/>
      <c r="X22" s="141" t="n"/>
      <c r="Y22" s="141" t="n"/>
      <c r="Z22" s="141" t="n"/>
      <c r="AA22" s="141" t="n"/>
      <c r="AB22" s="141" t="n"/>
    </row>
    <row r="23" ht="15.75" customHeight="1">
      <c r="A23" s="142" t="n"/>
      <c r="B23" s="153" t="inlineStr">
        <is>
          <t>Viscosidad a 40ºC, cSt</t>
        </is>
      </c>
      <c r="C23" s="452" t="n">
        <v>0</v>
      </c>
      <c r="D23" s="452" t="n"/>
      <c r="E23" s="452" t="n"/>
      <c r="F23" s="452" t="n"/>
      <c r="G23" s="452" t="n"/>
      <c r="H23" s="452" t="n"/>
      <c r="I23" s="452" t="n"/>
      <c r="J23" s="452" t="n"/>
      <c r="K23" s="452" t="n"/>
      <c r="L23" s="452" t="n"/>
      <c r="M23" s="149" t="n"/>
      <c r="N23" s="160" t="n"/>
      <c r="O23" s="453" t="n"/>
      <c r="P23" s="162" t="n"/>
      <c r="Q23" s="453" t="n"/>
      <c r="R23" s="155" t="n"/>
      <c r="S23" s="151" t="n"/>
      <c r="T23" s="141" t="n"/>
      <c r="U23" s="141" t="n"/>
      <c r="V23" s="141" t="n"/>
      <c r="W23" s="152" t="n"/>
      <c r="X23" s="141" t="n"/>
      <c r="Y23" s="141" t="n"/>
      <c r="Z23" s="141" t="n"/>
      <c r="AA23" s="141" t="n"/>
      <c r="AB23" s="141" t="n"/>
    </row>
    <row r="24" hidden="1" ht="15.75" customHeight="1">
      <c r="A24" s="142" t="n"/>
      <c r="B24" s="153" t="inlineStr">
        <is>
          <t>Indice de Viscosidad</t>
        </is>
      </c>
      <c r="C24" s="163" t="n">
        <v>0</v>
      </c>
      <c r="D24" s="163" t="n"/>
      <c r="E24" s="163" t="n"/>
      <c r="F24" s="163" t="n"/>
      <c r="G24" s="163" t="n"/>
      <c r="H24" s="163" t="n"/>
      <c r="I24" s="163" t="n"/>
      <c r="J24" s="163" t="n"/>
      <c r="K24" s="163" t="n"/>
      <c r="L24" s="163" t="n"/>
      <c r="M24" s="149" t="n"/>
      <c r="N24" s="164" t="n"/>
      <c r="O24" s="454" t="n"/>
      <c r="P24" s="164" t="n"/>
      <c r="Q24" s="454" t="n"/>
      <c r="R24" s="155" t="n"/>
      <c r="S24" s="151" t="n"/>
      <c r="T24" s="141" t="n"/>
      <c r="U24" s="141" t="n"/>
      <c r="V24" s="141" t="n"/>
      <c r="W24" s="152" t="n"/>
      <c r="X24" s="141" t="n"/>
      <c r="Y24" s="141" t="n"/>
      <c r="Z24" s="141" t="n"/>
      <c r="AA24" s="141" t="n"/>
      <c r="AB24" s="141" t="n"/>
    </row>
    <row r="25" hidden="1" ht="15.75" customHeight="1">
      <c r="A25" s="142" t="n"/>
      <c r="B25" s="153" t="inlineStr">
        <is>
          <t>T.B.N. mgKOH/gr</t>
        </is>
      </c>
      <c r="C25" s="455" t="n">
        <v>0</v>
      </c>
      <c r="D25" s="455" t="n"/>
      <c r="E25" s="455" t="n"/>
      <c r="F25" s="455" t="n"/>
      <c r="G25" s="455" t="n"/>
      <c r="H25" s="455" t="n"/>
      <c r="I25" s="455" t="n"/>
      <c r="J25" s="455" t="n"/>
      <c r="K25" s="455" t="n"/>
      <c r="L25" s="455" t="n"/>
      <c r="M25" s="167" t="n"/>
      <c r="N25" s="276" t="inlineStr">
        <is>
          <t>[50% TBN -1]</t>
        </is>
      </c>
      <c r="O25" s="436" t="n"/>
      <c r="P25" s="436" t="n"/>
      <c r="Q25" s="437" t="n"/>
      <c r="R25" s="155" t="n"/>
      <c r="S25" s="151" t="n"/>
      <c r="T25" s="141" t="n"/>
      <c r="U25" s="141" t="n"/>
      <c r="V25" s="141" t="n"/>
      <c r="W25" s="152" t="n"/>
    </row>
    <row r="26" ht="18" customHeight="1">
      <c r="A26" s="142" t="n"/>
      <c r="B26" s="153" t="inlineStr">
        <is>
          <t>Humedad</t>
        </is>
      </c>
      <c r="C26" s="154" t="inlineStr">
        <is>
          <t>NEGATIVO</t>
        </is>
      </c>
      <c r="D26" s="154" t="n"/>
      <c r="E26" s="154" t="n"/>
      <c r="F26" s="154" t="n"/>
      <c r="G26" s="154" t="n"/>
      <c r="H26" s="154" t="n"/>
      <c r="I26" s="154" t="n"/>
      <c r="J26" s="154" t="n"/>
      <c r="K26" s="154" t="n"/>
      <c r="L26" s="154" t="n"/>
      <c r="M26" s="149" t="n"/>
      <c r="N26" s="164" t="n"/>
      <c r="O26" s="454" t="n"/>
      <c r="P26" s="290" t="inlineStr">
        <is>
          <t>POSITIVO</t>
        </is>
      </c>
      <c r="Q26" s="437" t="n"/>
      <c r="R26" s="155" t="n"/>
      <c r="S26" s="151" t="n"/>
      <c r="T26" s="141" t="n"/>
      <c r="U26" s="141" t="n"/>
      <c r="V26" s="141" t="n"/>
      <c r="W26" s="152" t="n"/>
      <c r="X26" s="141" t="n"/>
      <c r="Y26" s="141" t="n"/>
      <c r="Z26" s="141" t="n"/>
      <c r="AA26" s="141" t="n"/>
    </row>
    <row r="27" hidden="1" ht="15.75" customHeight="1">
      <c r="A27" s="142" t="n"/>
      <c r="B27" s="153" t="inlineStr">
        <is>
          <t>Glycol,  Abs/cm</t>
        </is>
      </c>
      <c r="C27" s="154" t="n">
        <v>0</v>
      </c>
      <c r="D27" s="154" t="n"/>
      <c r="E27" s="154" t="n"/>
      <c r="F27" s="154" t="n"/>
      <c r="G27" s="154" t="n"/>
      <c r="H27" s="154" t="n"/>
      <c r="I27" s="154" t="n"/>
      <c r="J27" s="154" t="n"/>
      <c r="K27" s="154" t="n"/>
      <c r="L27" s="154" t="n"/>
      <c r="M27" s="149" t="n"/>
      <c r="N27" s="168" t="n"/>
      <c r="O27" s="169" t="n"/>
      <c r="P27" s="168" t="n"/>
      <c r="Q27" s="170" t="n"/>
      <c r="R27" s="155" t="n"/>
      <c r="S27" s="151" t="n"/>
      <c r="T27" s="141" t="n"/>
      <c r="U27" s="141" t="n"/>
      <c r="V27" s="141" t="n"/>
      <c r="W27" s="152" t="n"/>
      <c r="X27" s="141" t="n"/>
      <c r="Y27" s="141" t="n"/>
      <c r="Z27" s="141" t="n"/>
    </row>
    <row r="28" hidden="1" ht="15.75" customFormat="1" customHeight="1" s="173">
      <c r="A28" s="171" t="n"/>
      <c r="B28" s="153" t="inlineStr">
        <is>
          <t>Combustible</t>
        </is>
      </c>
      <c r="C28" s="154" t="inlineStr">
        <is>
          <t>NEGATIVO</t>
        </is>
      </c>
      <c r="D28" s="154" t="n"/>
      <c r="E28" s="154" t="n"/>
      <c r="F28" s="154" t="n"/>
      <c r="G28" s="154" t="n"/>
      <c r="H28" s="154" t="n"/>
      <c r="I28" s="154" t="n"/>
      <c r="J28" s="154" t="n"/>
      <c r="K28" s="154" t="n"/>
      <c r="L28" s="154" t="n"/>
      <c r="M28" s="167" t="n"/>
      <c r="N28" s="164" t="n"/>
      <c r="O28" s="454" t="n"/>
      <c r="P28" s="290" t="inlineStr">
        <is>
          <t>POSITIVO</t>
        </is>
      </c>
      <c r="Q28" s="437" t="n"/>
      <c r="R28" s="172" t="n"/>
      <c r="S28" s="151" t="n"/>
      <c r="T28" s="141" t="n"/>
      <c r="U28" s="141" t="n"/>
      <c r="V28" s="141" t="n"/>
      <c r="W28" s="152" t="n"/>
      <c r="X28" s="141" t="n"/>
      <c r="Y28" s="141" t="n"/>
      <c r="Z28" s="141" t="n"/>
      <c r="AA28" s="141" t="n"/>
    </row>
    <row r="29" ht="18" customHeight="1">
      <c r="A29" s="142" t="n"/>
      <c r="B29" s="158" t="n"/>
      <c r="C29" s="158" t="n"/>
      <c r="D29" s="158" t="n"/>
      <c r="E29" s="158" t="n"/>
      <c r="F29" s="158" t="n"/>
      <c r="G29" s="158" t="n"/>
      <c r="H29" s="158" t="n"/>
      <c r="I29" s="158" t="n"/>
      <c r="J29" s="158" t="n"/>
      <c r="K29" s="158" t="n"/>
      <c r="L29" s="158" t="n"/>
      <c r="N29" s="174" t="n"/>
      <c r="O29" s="175" t="n"/>
      <c r="P29" s="175" t="n"/>
      <c r="Q29" s="175" t="n"/>
      <c r="R29" s="155" t="n"/>
      <c r="S29" s="151" t="n"/>
      <c r="T29" s="141" t="n"/>
      <c r="U29" s="141" t="n"/>
      <c r="V29" s="141" t="n"/>
      <c r="W29" s="152" t="n"/>
    </row>
    <row r="30" ht="18" customHeight="1">
      <c r="A30" s="142" t="n"/>
      <c r="B30" s="275" t="inlineStr">
        <is>
          <t>DEGRADACIÓN QUÍMICA</t>
        </is>
      </c>
      <c r="C30" s="446" t="n"/>
      <c r="D30" s="446" t="n"/>
      <c r="E30" s="446" t="n"/>
      <c r="F30" s="446" t="n"/>
      <c r="G30" s="446" t="n"/>
      <c r="H30" s="446" t="n"/>
      <c r="I30" s="446" t="n"/>
      <c r="J30" s="446" t="n"/>
      <c r="K30" s="446" t="n"/>
      <c r="L30" s="447" t="n"/>
      <c r="N30" s="276" t="inlineStr">
        <is>
          <t>* Rangos Generales</t>
        </is>
      </c>
      <c r="O30" s="436" t="n"/>
      <c r="P30" s="436" t="n"/>
      <c r="Q30" s="437" t="n"/>
      <c r="R30" s="155" t="n"/>
      <c r="S30" s="151" t="n"/>
      <c r="T30" s="141" t="n"/>
      <c r="U30" s="141" t="n"/>
      <c r="V30" s="141" t="n"/>
      <c r="W30" s="152" t="n"/>
    </row>
    <row r="31" ht="15" customHeight="1">
      <c r="A31" s="142" t="n"/>
      <c r="B31" s="448" t="n"/>
      <c r="C31" s="449" t="n"/>
      <c r="D31" s="449" t="n"/>
      <c r="E31" s="449" t="n"/>
      <c r="F31" s="449" t="n"/>
      <c r="G31" s="449" t="n"/>
      <c r="H31" s="449" t="n"/>
      <c r="I31" s="449" t="n"/>
      <c r="J31" s="449" t="n"/>
      <c r="K31" s="449" t="n"/>
      <c r="L31" s="450" t="n"/>
      <c r="M31" s="149" t="n"/>
      <c r="N31" s="276" t="inlineStr">
        <is>
          <t>Precaución</t>
        </is>
      </c>
      <c r="O31" s="437" t="n"/>
      <c r="P31" s="276" t="inlineStr">
        <is>
          <t>Anormal</t>
        </is>
      </c>
      <c r="Q31" s="437" t="n"/>
      <c r="R31" s="155" t="n"/>
      <c r="S31" s="151" t="n"/>
      <c r="T31" s="141" t="n"/>
      <c r="U31" s="141" t="n"/>
      <c r="V31" s="141" t="n"/>
      <c r="W31" s="152" t="n"/>
      <c r="X31" s="286" t="n"/>
      <c r="Y31" s="286" t="n"/>
      <c r="Z31" s="286" t="n"/>
      <c r="AA31" s="286" t="n"/>
      <c r="AB31" s="286" t="n"/>
    </row>
    <row r="32" ht="18" customHeight="1">
      <c r="A32" s="142" t="n"/>
      <c r="B32" s="153" t="inlineStr">
        <is>
          <t>Oxidación, Abs/cm</t>
        </is>
      </c>
      <c r="C32" s="456" t="n">
        <v>0</v>
      </c>
      <c r="D32" s="456" t="n"/>
      <c r="E32" s="456" t="n"/>
      <c r="F32" s="456" t="n"/>
      <c r="G32" s="456" t="n"/>
      <c r="H32" s="456" t="n"/>
      <c r="I32" s="456" t="n"/>
      <c r="J32" s="456" t="n"/>
      <c r="K32" s="456" t="n"/>
      <c r="L32" s="456" t="n"/>
      <c r="M32" s="149" t="n"/>
      <c r="N32" s="164" t="n"/>
      <c r="O32" s="177" t="n"/>
      <c r="P32" s="164" t="n"/>
      <c r="Q32" s="177" t="n"/>
      <c r="R32" s="155" t="n"/>
      <c r="S32" s="151" t="n"/>
      <c r="T32" s="141" t="n"/>
      <c r="U32" s="141" t="n"/>
      <c r="V32" s="141" t="n"/>
      <c r="W32" s="152" t="n"/>
      <c r="X32" s="141" t="n"/>
      <c r="Y32" s="141" t="n"/>
      <c r="Z32" s="141" t="n"/>
    </row>
    <row r="33" hidden="1" ht="15.75" customHeight="1">
      <c r="A33" s="142" t="n"/>
      <c r="B33" s="153" t="inlineStr">
        <is>
          <t>Nitración, Abs/cm</t>
        </is>
      </c>
      <c r="C33" s="423" t="n">
        <v>0</v>
      </c>
      <c r="D33" s="423" t="n"/>
      <c r="E33" s="423" t="n"/>
      <c r="F33" s="423" t="n"/>
      <c r="G33" s="423" t="n"/>
      <c r="H33" s="423" t="n"/>
      <c r="I33" s="423" t="n"/>
      <c r="J33" s="423" t="n"/>
      <c r="K33" s="423" t="n"/>
      <c r="L33" s="423" t="n"/>
      <c r="M33" s="149" t="n"/>
      <c r="N33" s="164" t="n"/>
      <c r="O33" s="177" t="n"/>
      <c r="P33" s="164" t="n"/>
      <c r="Q33" s="177" t="n"/>
      <c r="R33" s="155" t="n"/>
      <c r="S33" s="151" t="n"/>
      <c r="T33" s="141" t="n"/>
      <c r="U33" s="141" t="n"/>
      <c r="V33" s="141" t="n"/>
      <c r="W33" s="152" t="n"/>
    </row>
    <row r="34" hidden="1" ht="15.75" customHeight="1">
      <c r="A34" s="142" t="n"/>
      <c r="B34" s="153" t="inlineStr">
        <is>
          <t>Sulfatación, Abs/cm</t>
        </is>
      </c>
      <c r="C34" s="423" t="n">
        <v>0</v>
      </c>
      <c r="D34" s="423" t="n"/>
      <c r="E34" s="423" t="n"/>
      <c r="F34" s="423" t="n"/>
      <c r="G34" s="423" t="n"/>
      <c r="H34" s="423" t="n"/>
      <c r="I34" s="423" t="n"/>
      <c r="J34" s="423" t="n"/>
      <c r="K34" s="423" t="n"/>
      <c r="L34" s="423" t="n"/>
      <c r="M34" s="149" t="n"/>
      <c r="N34" s="164" t="n"/>
      <c r="O34" s="177" t="n"/>
      <c r="P34" s="164" t="n"/>
      <c r="Q34" s="177" t="n"/>
      <c r="R34" s="155" t="n"/>
      <c r="S34" s="151" t="n"/>
      <c r="T34" s="141" t="n"/>
      <c r="U34" s="141" t="n"/>
      <c r="V34" s="141" t="n"/>
      <c r="W34" s="152" t="n"/>
    </row>
    <row r="35" hidden="1" ht="15.75" customHeight="1">
      <c r="A35" s="142" t="n"/>
      <c r="B35" s="153" t="inlineStr">
        <is>
          <t>Hollín, wt%</t>
        </is>
      </c>
      <c r="C35" s="423" t="n">
        <v>0</v>
      </c>
      <c r="D35" s="423" t="n"/>
      <c r="E35" s="423" t="n"/>
      <c r="F35" s="423" t="n"/>
      <c r="G35" s="423" t="n"/>
      <c r="H35" s="423" t="n"/>
      <c r="I35" s="423" t="n"/>
      <c r="J35" s="423" t="n"/>
      <c r="K35" s="423" t="n"/>
      <c r="L35" s="423" t="n"/>
      <c r="M35" s="149" t="n"/>
      <c r="N35" s="164" t="n"/>
      <c r="O35" s="178" t="n"/>
      <c r="P35" s="164" t="n"/>
      <c r="Q35" s="177" t="n"/>
      <c r="R35" s="155" t="n"/>
      <c r="S35" s="151" t="n"/>
      <c r="T35" s="141" t="n"/>
      <c r="U35" s="141" t="n"/>
      <c r="V35" s="141" t="n"/>
      <c r="W35" s="152" t="n"/>
    </row>
    <row r="36" ht="18" customHeight="1">
      <c r="A36" s="142" t="n"/>
      <c r="B36" s="158" t="n"/>
      <c r="C36" s="158" t="n"/>
      <c r="D36" s="158" t="n"/>
      <c r="E36" s="158" t="n"/>
      <c r="F36" s="158" t="n"/>
      <c r="G36" s="158" t="n"/>
      <c r="H36" s="158" t="n"/>
      <c r="I36" s="158" t="n"/>
      <c r="J36" s="158" t="n"/>
      <c r="K36" s="158" t="n"/>
      <c r="L36" s="158" t="n"/>
      <c r="N36" s="174" t="n"/>
      <c r="O36" s="175" t="n"/>
      <c r="P36" s="175" t="n"/>
      <c r="Q36" s="175" t="n"/>
      <c r="R36" s="155" t="n"/>
      <c r="S36" s="151" t="n"/>
      <c r="T36" s="141" t="n"/>
      <c r="U36" s="141" t="n"/>
      <c r="V36" s="141" t="n"/>
      <c r="W36" s="152" t="n"/>
      <c r="X36" s="141" t="n"/>
      <c r="Y36" s="141" t="n"/>
      <c r="Z36" s="141" t="n"/>
      <c r="AA36" s="141" t="n"/>
    </row>
    <row r="37" ht="18" customHeight="1">
      <c r="A37" s="142" t="n"/>
      <c r="B37" s="275" t="inlineStr">
        <is>
          <t>CONTAMINACIÓN DEL LUBRICANTE - PPM (mg/kg)</t>
        </is>
      </c>
      <c r="C37" s="446" t="n"/>
      <c r="D37" s="446" t="n"/>
      <c r="E37" s="446" t="n"/>
      <c r="F37" s="446" t="n"/>
      <c r="G37" s="446" t="n"/>
      <c r="H37" s="446" t="n"/>
      <c r="I37" s="446" t="n"/>
      <c r="J37" s="446" t="n"/>
      <c r="K37" s="446" t="n"/>
      <c r="L37" s="447" t="n"/>
      <c r="N37" s="276" t="inlineStr">
        <is>
          <t>* Rangos Generales</t>
        </is>
      </c>
      <c r="O37" s="436" t="n"/>
      <c r="P37" s="436" t="n"/>
      <c r="Q37" s="437" t="n"/>
      <c r="R37" s="155" t="n"/>
      <c r="S37" s="151" t="n"/>
      <c r="T37" s="141" t="n"/>
      <c r="U37" s="141" t="n"/>
      <c r="V37" s="141" t="n"/>
      <c r="W37" s="152" t="n"/>
      <c r="X37" s="141" t="n"/>
      <c r="Y37" s="141" t="n"/>
      <c r="Z37" s="141" t="n"/>
      <c r="AA37" s="141" t="n"/>
    </row>
    <row r="38" ht="18" customHeight="1">
      <c r="A38" s="142" t="n"/>
      <c r="B38" s="448" t="n"/>
      <c r="C38" s="449" t="n"/>
      <c r="D38" s="449" t="n"/>
      <c r="E38" s="449" t="n"/>
      <c r="F38" s="449" t="n"/>
      <c r="G38" s="449" t="n"/>
      <c r="H38" s="449" t="n"/>
      <c r="I38" s="449" t="n"/>
      <c r="J38" s="449" t="n"/>
      <c r="K38" s="449" t="n"/>
      <c r="L38" s="450" t="n"/>
      <c r="M38" s="149" t="n"/>
      <c r="N38" s="276" t="inlineStr">
        <is>
          <t>Precaución</t>
        </is>
      </c>
      <c r="O38" s="437" t="n"/>
      <c r="P38" s="276" t="inlineStr">
        <is>
          <t>Anormal</t>
        </is>
      </c>
      <c r="Q38" s="437" t="n"/>
      <c r="R38" s="179" t="n"/>
      <c r="S38" s="151" t="n"/>
      <c r="T38" s="141" t="n"/>
      <c r="U38" s="141" t="n"/>
      <c r="V38" s="141" t="n"/>
      <c r="W38" s="152" t="n"/>
      <c r="X38" s="141" t="n"/>
      <c r="Y38" s="141" t="n"/>
      <c r="Z38" s="141" t="n"/>
      <c r="AA38" s="141" t="n"/>
    </row>
    <row r="39" ht="18" customHeight="1">
      <c r="A39" s="142" t="n"/>
      <c r="B39" s="153" t="inlineStr">
        <is>
          <t>Si (Silicio)</t>
        </is>
      </c>
      <c r="C39" s="154" t="n">
        <v>0</v>
      </c>
      <c r="D39" s="154" t="n"/>
      <c r="E39" s="154" t="n"/>
      <c r="F39" s="154" t="n"/>
      <c r="G39" s="154" t="n"/>
      <c r="H39" s="154" t="n"/>
      <c r="I39" s="154" t="n"/>
      <c r="J39" s="154" t="n"/>
      <c r="K39" s="154" t="n"/>
      <c r="L39" s="154" t="n"/>
      <c r="M39" s="149" t="n"/>
      <c r="N39" s="164" t="n"/>
      <c r="O39" s="177" t="n"/>
      <c r="P39" s="164" t="n"/>
      <c r="Q39" s="177" t="n"/>
      <c r="R39" s="155" t="n"/>
      <c r="S39" s="151" t="n"/>
      <c r="T39" s="141" t="n"/>
      <c r="U39" s="141" t="n"/>
      <c r="V39" s="141" t="n"/>
      <c r="W39" s="152" t="n"/>
      <c r="X39" s="141" t="n"/>
      <c r="Y39" s="141" t="n"/>
      <c r="Z39" s="141" t="n"/>
      <c r="AA39" s="141" t="n"/>
    </row>
    <row r="40" ht="18" customHeight="1">
      <c r="A40" s="142" t="n"/>
      <c r="B40" s="153" t="inlineStr">
        <is>
          <t>Na (Sodio)</t>
        </is>
      </c>
      <c r="C40" s="154" t="n">
        <v>0</v>
      </c>
      <c r="D40" s="154" t="n"/>
      <c r="E40" s="154" t="n"/>
      <c r="F40" s="154" t="n"/>
      <c r="G40" s="154" t="n"/>
      <c r="H40" s="154" t="n"/>
      <c r="I40" s="154" t="n"/>
      <c r="J40" s="154" t="n"/>
      <c r="K40" s="154" t="n"/>
      <c r="L40" s="154" t="n"/>
      <c r="M40" s="149" t="n"/>
      <c r="N40" s="164" t="n"/>
      <c r="O40" s="177" t="n"/>
      <c r="P40" s="164" t="n"/>
      <c r="Q40" s="177" t="n"/>
      <c r="R40" s="155" t="n"/>
      <c r="S40" s="151" t="n"/>
      <c r="T40" s="141" t="n"/>
      <c r="U40" s="141" t="n"/>
      <c r="V40" s="141" t="n"/>
      <c r="W40" s="152" t="n"/>
      <c r="X40" s="141" t="n"/>
      <c r="Y40" s="141" t="n"/>
      <c r="Z40" s="141" t="n"/>
      <c r="AA40" s="141" t="n"/>
    </row>
    <row r="41" ht="18" customHeight="1">
      <c r="A41" s="142" t="n"/>
      <c r="B41" s="153" t="inlineStr">
        <is>
          <t>Vanadio (V)</t>
        </is>
      </c>
      <c r="C41" s="154" t="n">
        <v>0</v>
      </c>
      <c r="D41" s="154" t="n"/>
      <c r="E41" s="154" t="n"/>
      <c r="F41" s="154" t="n"/>
      <c r="G41" s="154" t="n"/>
      <c r="H41" s="154" t="n"/>
      <c r="I41" s="154" t="n"/>
      <c r="J41" s="154" t="n"/>
      <c r="K41" s="154" t="n"/>
      <c r="L41" s="154" t="n"/>
      <c r="M41" s="149" t="n"/>
      <c r="N41" s="164" t="n"/>
      <c r="O41" s="177" t="n"/>
      <c r="P41" s="164" t="n"/>
      <c r="Q41" s="177" t="n"/>
      <c r="R41" s="155" t="n"/>
      <c r="S41" s="151" t="n"/>
      <c r="T41" s="141" t="n"/>
      <c r="U41" s="141" t="n"/>
      <c r="V41" s="141" t="n"/>
      <c r="W41" s="152" t="n"/>
      <c r="X41" s="141" t="n"/>
      <c r="Y41" s="141" t="n"/>
      <c r="Z41" s="141" t="n"/>
      <c r="AA41" s="141" t="n"/>
    </row>
    <row r="42" ht="18" customFormat="1" customHeight="1" s="173">
      <c r="A42" s="171" t="n"/>
      <c r="B42" s="153" t="inlineStr">
        <is>
          <t>Ni (Niquel)</t>
        </is>
      </c>
      <c r="C42" s="154" t="n">
        <v>0</v>
      </c>
      <c r="D42" s="154" t="n"/>
      <c r="E42" s="154" t="n"/>
      <c r="F42" s="154" t="n"/>
      <c r="G42" s="154" t="n"/>
      <c r="H42" s="154" t="n"/>
      <c r="I42" s="154" t="n"/>
      <c r="J42" s="154" t="n"/>
      <c r="K42" s="154" t="n"/>
      <c r="L42" s="154" t="n"/>
      <c r="M42" s="140" t="n"/>
      <c r="N42" s="164" t="n"/>
      <c r="O42" s="178" t="n"/>
      <c r="P42" s="164" t="n"/>
      <c r="Q42" s="178" t="n"/>
      <c r="R42" s="172" t="n"/>
      <c r="S42" s="151" t="n"/>
      <c r="T42" s="141" t="n"/>
      <c r="U42" s="141" t="n"/>
      <c r="V42" s="141" t="n"/>
      <c r="W42" s="152" t="n"/>
      <c r="X42" s="141" t="n"/>
      <c r="Y42" s="141" t="n"/>
      <c r="Z42" s="141" t="n"/>
      <c r="AA42" s="141" t="n"/>
    </row>
    <row r="43" ht="18" customFormat="1" customHeight="1" s="173">
      <c r="A43" s="171" t="n"/>
      <c r="B43" s="158" t="n"/>
      <c r="C43" s="158" t="n"/>
      <c r="D43" s="158" t="n"/>
      <c r="E43" s="158" t="n"/>
      <c r="F43" s="158" t="n"/>
      <c r="G43" s="158" t="n"/>
      <c r="H43" s="158" t="n"/>
      <c r="I43" s="158" t="n"/>
      <c r="J43" s="158" t="n"/>
      <c r="K43" s="158" t="n"/>
      <c r="L43" s="158" t="n"/>
      <c r="M43" s="141" t="n"/>
      <c r="N43" s="180" t="n"/>
      <c r="O43" s="180" t="n"/>
      <c r="P43" s="180" t="n"/>
      <c r="Q43" s="180" t="n"/>
      <c r="R43" s="172" t="n"/>
      <c r="S43" s="151" t="n"/>
      <c r="T43" s="141" t="n"/>
      <c r="U43" s="141" t="n"/>
      <c r="V43" s="141" t="n"/>
      <c r="W43" s="152" t="n"/>
      <c r="X43" s="141" t="n"/>
      <c r="Y43" s="141" t="n"/>
      <c r="Z43" s="141" t="n"/>
      <c r="AA43" s="141" t="n"/>
    </row>
    <row r="44" ht="18" customHeight="1">
      <c r="A44" s="142" t="n"/>
      <c r="B44" s="275" t="inlineStr">
        <is>
          <t>DESGATE DEL EQUIPO  - PPM (mg/kg)</t>
        </is>
      </c>
      <c r="C44" s="446" t="n"/>
      <c r="D44" s="446" t="n"/>
      <c r="E44" s="446" t="n"/>
      <c r="F44" s="446" t="n"/>
      <c r="G44" s="446" t="n"/>
      <c r="H44" s="446" t="n"/>
      <c r="I44" s="446" t="n"/>
      <c r="J44" s="446" t="n"/>
      <c r="K44" s="446" t="n"/>
      <c r="L44" s="447" t="n"/>
      <c r="N44" s="276" t="inlineStr">
        <is>
          <t>* Rangos Generales</t>
        </is>
      </c>
      <c r="O44" s="436" t="n"/>
      <c r="P44" s="436" t="n"/>
      <c r="Q44" s="437" t="n"/>
      <c r="R44" s="155" t="n"/>
      <c r="S44" s="151" t="n"/>
      <c r="T44" s="141" t="n"/>
      <c r="U44" s="141" t="n"/>
      <c r="V44" s="141" t="n"/>
      <c r="W44" s="152" t="n"/>
      <c r="X44" s="141" t="n"/>
      <c r="Y44" s="141" t="n"/>
      <c r="Z44" s="141" t="n"/>
      <c r="AA44" s="141" t="n"/>
    </row>
    <row r="45" ht="18" customHeight="1">
      <c r="A45" s="142" t="n"/>
      <c r="B45" s="448" t="n"/>
      <c r="C45" s="449" t="n"/>
      <c r="D45" s="449" t="n"/>
      <c r="E45" s="449" t="n"/>
      <c r="F45" s="449" t="n"/>
      <c r="G45" s="449" t="n"/>
      <c r="H45" s="449" t="n"/>
      <c r="I45" s="449" t="n"/>
      <c r="J45" s="449" t="n"/>
      <c r="K45" s="449" t="n"/>
      <c r="L45" s="450" t="n"/>
      <c r="M45" s="149" t="n"/>
      <c r="N45" s="276" t="inlineStr">
        <is>
          <t>Precaución</t>
        </is>
      </c>
      <c r="O45" s="437" t="n"/>
      <c r="P45" s="276" t="inlineStr">
        <is>
          <t>Anormal</t>
        </is>
      </c>
      <c r="Q45" s="437" t="n"/>
      <c r="R45" s="181" t="n"/>
      <c r="S45" s="151" t="n"/>
      <c r="T45" s="141" t="n"/>
      <c r="U45" s="141" t="n"/>
      <c r="V45" s="141" t="n"/>
      <c r="W45" s="152" t="n"/>
      <c r="X45" s="141" t="n"/>
      <c r="Y45" s="141" t="n"/>
      <c r="Z45" s="141" t="n"/>
      <c r="AA45" s="141" t="n"/>
    </row>
    <row r="46" ht="18" customHeight="1">
      <c r="A46" s="142" t="n"/>
      <c r="B46" s="153" t="inlineStr">
        <is>
          <t>Fe (Hierro)</t>
        </is>
      </c>
      <c r="C46" s="154" t="n">
        <v>0</v>
      </c>
      <c r="D46" s="154" t="n"/>
      <c r="E46" s="154" t="n"/>
      <c r="F46" s="154" t="n"/>
      <c r="G46" s="154" t="n"/>
      <c r="H46" s="154" t="n"/>
      <c r="I46" s="154" t="n"/>
      <c r="J46" s="154" t="n"/>
      <c r="K46" s="154" t="n"/>
      <c r="L46" s="154" t="n"/>
      <c r="M46" s="149" t="n"/>
      <c r="N46" s="164" t="n"/>
      <c r="O46" s="177" t="n"/>
      <c r="P46" s="164" t="n"/>
      <c r="Q46" s="177" t="n"/>
      <c r="R46" s="155" t="n"/>
      <c r="S46" s="151" t="n"/>
      <c r="T46" s="141" t="n"/>
      <c r="U46" s="141" t="n"/>
      <c r="V46" s="141" t="n"/>
      <c r="W46" s="152" t="n"/>
      <c r="X46" s="141" t="n"/>
      <c r="Y46" s="141" t="n"/>
      <c r="Z46" s="141" t="n"/>
      <c r="AA46" s="141" t="n"/>
    </row>
    <row r="47" ht="18" customHeight="1">
      <c r="A47" s="142" t="n"/>
      <c r="B47" s="153" t="inlineStr">
        <is>
          <t>Cr (Cromo)</t>
        </is>
      </c>
      <c r="C47" s="154" t="n">
        <v>0</v>
      </c>
      <c r="D47" s="154" t="n"/>
      <c r="E47" s="154" t="n"/>
      <c r="F47" s="154" t="n"/>
      <c r="G47" s="154" t="n"/>
      <c r="H47" s="154" t="n"/>
      <c r="I47" s="154" t="n"/>
      <c r="J47" s="154" t="n"/>
      <c r="K47" s="154" t="n"/>
      <c r="L47" s="154" t="n"/>
      <c r="M47" s="149" t="n"/>
      <c r="N47" s="164" t="n"/>
      <c r="O47" s="177" t="n"/>
      <c r="P47" s="164" t="n"/>
      <c r="Q47" s="177" t="n"/>
      <c r="R47" s="155" t="n"/>
      <c r="S47" s="151" t="n"/>
      <c r="T47" s="141" t="n"/>
      <c r="U47" s="141" t="n"/>
      <c r="V47" s="141" t="n"/>
      <c r="W47" s="152" t="n"/>
      <c r="X47" s="141" t="n"/>
      <c r="Y47" s="141" t="n"/>
      <c r="Z47" s="141" t="n"/>
      <c r="AA47" s="141" t="n"/>
    </row>
    <row r="48" ht="18" customHeight="1">
      <c r="A48" s="142" t="n"/>
      <c r="B48" s="153" t="inlineStr">
        <is>
          <t>Al (Aluminio)</t>
        </is>
      </c>
      <c r="C48" s="154" t="n">
        <v>0</v>
      </c>
      <c r="D48" s="154" t="n"/>
      <c r="E48" s="154" t="n"/>
      <c r="F48" s="154" t="n"/>
      <c r="G48" s="154" t="n"/>
      <c r="H48" s="154" t="n"/>
      <c r="I48" s="154" t="n"/>
      <c r="J48" s="154" t="n"/>
      <c r="K48" s="154" t="n"/>
      <c r="L48" s="154" t="n"/>
      <c r="M48" s="149" t="n"/>
      <c r="N48" s="164" t="n"/>
      <c r="O48" s="177" t="n"/>
      <c r="P48" s="164" t="n"/>
      <c r="Q48" s="177" t="n"/>
      <c r="R48" s="155" t="n"/>
      <c r="S48" s="151" t="n"/>
      <c r="T48" s="141" t="n"/>
      <c r="U48" s="141" t="n"/>
      <c r="V48" s="141" t="n"/>
      <c r="W48" s="152" t="n"/>
      <c r="X48" s="141" t="n"/>
      <c r="Y48" s="141" t="n"/>
      <c r="Z48" s="141" t="n"/>
      <c r="AA48" s="141" t="n"/>
    </row>
    <row r="49" ht="18" customHeight="1">
      <c r="A49" s="142" t="n"/>
      <c r="B49" s="153" t="inlineStr">
        <is>
          <t>Cu (Cobre)</t>
        </is>
      </c>
      <c r="C49" s="154" t="n">
        <v>0</v>
      </c>
      <c r="D49" s="154" t="n"/>
      <c r="E49" s="154" t="n"/>
      <c r="F49" s="154" t="n"/>
      <c r="G49" s="154" t="n"/>
      <c r="H49" s="154" t="n"/>
      <c r="I49" s="154" t="n"/>
      <c r="J49" s="154" t="n"/>
      <c r="K49" s="154" t="n"/>
      <c r="L49" s="154" t="n"/>
      <c r="M49" s="167" t="n"/>
      <c r="N49" s="164" t="n"/>
      <c r="O49" s="177" t="n"/>
      <c r="P49" s="164" t="n"/>
      <c r="Q49" s="177" t="n"/>
      <c r="R49" s="155" t="n"/>
      <c r="S49" s="151" t="n"/>
      <c r="T49" s="141" t="n"/>
      <c r="U49" s="141" t="n"/>
      <c r="V49" s="141" t="n"/>
      <c r="W49" s="152" t="n"/>
      <c r="X49" s="141" t="n"/>
      <c r="Y49" s="141" t="n"/>
      <c r="Z49" s="141" t="n"/>
      <c r="AA49" s="141" t="n"/>
    </row>
    <row r="50" ht="18" customHeight="1">
      <c r="A50" s="142" t="n"/>
      <c r="B50" s="153" t="inlineStr">
        <is>
          <t>Pb (Plomo)</t>
        </is>
      </c>
      <c r="C50" s="154" t="n">
        <v>0</v>
      </c>
      <c r="D50" s="154" t="n"/>
      <c r="E50" s="154" t="n"/>
      <c r="F50" s="154" t="n"/>
      <c r="G50" s="154" t="n"/>
      <c r="H50" s="154" t="n"/>
      <c r="I50" s="154" t="n"/>
      <c r="J50" s="154" t="n"/>
      <c r="K50" s="154" t="n"/>
      <c r="L50" s="154" t="n"/>
      <c r="M50" s="149" t="n"/>
      <c r="N50" s="164" t="n"/>
      <c r="O50" s="177" t="n"/>
      <c r="P50" s="164" t="n"/>
      <c r="Q50" s="177" t="n"/>
      <c r="R50" s="155" t="n"/>
      <c r="S50" s="151" t="n"/>
      <c r="T50" s="141" t="n"/>
      <c r="U50" s="141" t="n"/>
      <c r="V50" s="141" t="n"/>
      <c r="W50" s="152" t="n"/>
      <c r="X50" s="141" t="n"/>
      <c r="Y50" s="141" t="n"/>
      <c r="Z50" s="141" t="n"/>
      <c r="AA50" s="141" t="n"/>
    </row>
    <row r="51" ht="18" customFormat="1" customHeight="1" s="173">
      <c r="A51" s="171" t="n"/>
      <c r="B51" s="153" t="inlineStr">
        <is>
          <t>Estaño (Sn)</t>
        </is>
      </c>
      <c r="C51" s="154" t="n">
        <v>0</v>
      </c>
      <c r="D51" s="154" t="n"/>
      <c r="E51" s="154" t="n"/>
      <c r="F51" s="154" t="n"/>
      <c r="G51" s="154" t="n"/>
      <c r="H51" s="154" t="n"/>
      <c r="I51" s="154" t="n"/>
      <c r="J51" s="154" t="n"/>
      <c r="K51" s="154" t="n"/>
      <c r="L51" s="154" t="n"/>
      <c r="M51" s="149" t="n"/>
      <c r="N51" s="164" t="n"/>
      <c r="O51" s="177" t="n"/>
      <c r="P51" s="164" t="n"/>
      <c r="Q51" s="177" t="n"/>
      <c r="R51" s="172" t="n"/>
      <c r="S51" s="151" t="n"/>
      <c r="T51" s="141" t="n"/>
      <c r="U51" s="141" t="n"/>
      <c r="V51" s="141" t="n"/>
      <c r="W51" s="152" t="n"/>
      <c r="X51" s="141" t="n"/>
      <c r="Y51" s="141" t="n"/>
      <c r="Z51" s="141" t="n"/>
    </row>
    <row r="52" ht="18" customHeight="1">
      <c r="A52" s="142" t="n"/>
      <c r="B52" s="158" t="n"/>
      <c r="C52" s="158" t="n"/>
      <c r="D52" s="158" t="n"/>
      <c r="E52" s="158" t="n"/>
      <c r="F52" s="158" t="n"/>
      <c r="G52" s="158" t="n"/>
      <c r="H52" s="158" t="n"/>
      <c r="I52" s="158" t="n"/>
      <c r="J52" s="158" t="n"/>
      <c r="K52" s="158" t="n"/>
      <c r="L52" s="158" t="n"/>
      <c r="N52" s="174" t="n"/>
      <c r="O52" s="182" t="n"/>
      <c r="P52" s="183" t="n"/>
      <c r="Q52" s="183" t="n"/>
      <c r="R52" s="155" t="n"/>
      <c r="S52" s="151" t="n"/>
      <c r="T52" s="141" t="n"/>
      <c r="U52" s="141" t="n"/>
      <c r="V52" s="141" t="n"/>
      <c r="W52" s="152" t="n"/>
      <c r="X52" s="141" t="n"/>
      <c r="Y52" s="141" t="n"/>
      <c r="Z52" s="141" t="n"/>
      <c r="AA52" s="141" t="n"/>
    </row>
    <row r="53" ht="18" customFormat="1" customHeight="1" s="173">
      <c r="A53" s="171" t="n"/>
      <c r="B53" s="275" t="inlineStr">
        <is>
          <t>OTROS ELEMENTOS - PPM (mg/kg)</t>
        </is>
      </c>
      <c r="C53" s="446" t="n"/>
      <c r="D53" s="446" t="n"/>
      <c r="E53" s="446" t="n"/>
      <c r="F53" s="446" t="n"/>
      <c r="G53" s="446" t="n"/>
      <c r="H53" s="446" t="n"/>
      <c r="I53" s="446" t="n"/>
      <c r="J53" s="446" t="n"/>
      <c r="K53" s="446" t="n"/>
      <c r="L53" s="447" t="n"/>
      <c r="M53" s="140" t="n"/>
      <c r="N53" s="276" t="inlineStr">
        <is>
          <t>* Rangos Generales</t>
        </is>
      </c>
      <c r="O53" s="436" t="n"/>
      <c r="P53" s="436" t="n"/>
      <c r="Q53" s="437" t="n"/>
      <c r="R53" s="172" t="n"/>
      <c r="S53" s="151" t="n"/>
      <c r="T53" s="141" t="n"/>
      <c r="U53" s="141" t="n"/>
      <c r="V53" s="141" t="n"/>
      <c r="W53" s="152" t="n"/>
      <c r="X53" s="141" t="n"/>
      <c r="Y53" s="141" t="n"/>
      <c r="Z53" s="141" t="n"/>
      <c r="AA53" s="141" t="n"/>
    </row>
    <row r="54" ht="18" customFormat="1" customHeight="1" s="173">
      <c r="A54" s="171" t="n"/>
      <c r="B54" s="448" t="n"/>
      <c r="C54" s="449" t="n"/>
      <c r="D54" s="449" t="n"/>
      <c r="E54" s="449" t="n"/>
      <c r="F54" s="449" t="n"/>
      <c r="G54" s="449" t="n"/>
      <c r="H54" s="449" t="n"/>
      <c r="I54" s="449" t="n"/>
      <c r="J54" s="449" t="n"/>
      <c r="K54" s="449" t="n"/>
      <c r="L54" s="450" t="n"/>
      <c r="M54" s="149" t="n"/>
      <c r="N54" s="276" t="inlineStr">
        <is>
          <t>Precaución</t>
        </is>
      </c>
      <c r="O54" s="437" t="n"/>
      <c r="P54" s="276" t="inlineStr">
        <is>
          <t>Anormal</t>
        </is>
      </c>
      <c r="Q54" s="437" t="n"/>
      <c r="R54" s="172" t="n"/>
      <c r="S54" s="151" t="n"/>
      <c r="T54" s="141" t="n"/>
      <c r="U54" s="141" t="n"/>
      <c r="V54" s="141" t="n"/>
      <c r="W54" s="152" t="n"/>
      <c r="X54" s="141" t="n"/>
      <c r="Y54" s="141" t="n"/>
      <c r="Z54" s="141" t="n"/>
    </row>
    <row r="55" ht="18" customFormat="1" customHeight="1" s="173">
      <c r="A55" s="171" t="n"/>
      <c r="B55" s="153" t="inlineStr">
        <is>
          <t>Mo (Molibdeno)</t>
        </is>
      </c>
      <c r="C55" s="154" t="n">
        <v>0</v>
      </c>
      <c r="D55" s="154" t="n"/>
      <c r="E55" s="154" t="n"/>
      <c r="F55" s="154" t="n"/>
      <c r="G55" s="154" t="n"/>
      <c r="H55" s="154" t="n"/>
      <c r="I55" s="154" t="n"/>
      <c r="J55" s="154" t="n"/>
      <c r="K55" s="154" t="n"/>
      <c r="L55" s="154" t="n"/>
      <c r="M55" s="149" t="n"/>
      <c r="N55" s="164" t="n"/>
      <c r="O55" s="178" t="n"/>
      <c r="P55" s="164" t="n"/>
      <c r="Q55" s="178" t="n"/>
      <c r="R55" s="172" t="n"/>
      <c r="S55" s="151" t="n"/>
      <c r="T55" s="141" t="n"/>
      <c r="U55" s="141" t="n"/>
      <c r="V55" s="141" t="n"/>
      <c r="W55" s="152" t="n"/>
      <c r="X55" s="141" t="n"/>
      <c r="Y55" s="141" t="n"/>
      <c r="Z55" s="141" t="n"/>
    </row>
    <row r="56" ht="18" customFormat="1" customHeight="1" s="173">
      <c r="A56" s="171" t="n"/>
      <c r="B56" s="153" t="inlineStr">
        <is>
          <t>B (Boro)</t>
        </is>
      </c>
      <c r="C56" s="154" t="n">
        <v>0</v>
      </c>
      <c r="D56" s="154" t="n"/>
      <c r="E56" s="154" t="n"/>
      <c r="F56" s="154" t="n"/>
      <c r="G56" s="154" t="n"/>
      <c r="H56" s="154" t="n"/>
      <c r="I56" s="154" t="n"/>
      <c r="J56" s="154" t="n"/>
      <c r="K56" s="154" t="n"/>
      <c r="L56" s="154" t="n"/>
      <c r="M56" s="149" t="n"/>
      <c r="N56" s="164" t="n"/>
      <c r="O56" s="178" t="n"/>
      <c r="P56" s="164" t="n"/>
      <c r="Q56" s="178" t="n"/>
      <c r="R56" s="172" t="n"/>
      <c r="S56" s="151" t="n"/>
      <c r="T56" s="141" t="n"/>
      <c r="U56" s="141" t="n"/>
      <c r="V56" s="141" t="n"/>
      <c r="W56" s="152" t="n"/>
      <c r="X56" s="141" t="n"/>
      <c r="Y56" s="141" t="n"/>
      <c r="Z56" s="141" t="n"/>
    </row>
    <row r="57" ht="18" customFormat="1" customHeight="1" s="173">
      <c r="A57" s="171" t="n"/>
      <c r="B57" s="153" t="inlineStr">
        <is>
          <t>Ba (Bario)</t>
        </is>
      </c>
      <c r="C57" s="154" t="n">
        <v>0</v>
      </c>
      <c r="D57" s="154" t="n"/>
      <c r="E57" s="154" t="n"/>
      <c r="F57" s="154" t="n"/>
      <c r="G57" s="154" t="n"/>
      <c r="H57" s="154" t="n"/>
      <c r="I57" s="154" t="n"/>
      <c r="J57" s="154" t="n"/>
      <c r="K57" s="154" t="n"/>
      <c r="L57" s="154" t="n"/>
      <c r="M57" s="149" t="n"/>
      <c r="N57" s="164" t="n"/>
      <c r="O57" s="178" t="n"/>
      <c r="P57" s="164" t="n"/>
      <c r="Q57" s="178" t="n"/>
      <c r="R57" s="172" t="n"/>
      <c r="S57" s="151" t="n"/>
      <c r="T57" s="141" t="n"/>
      <c r="U57" s="141" t="n"/>
      <c r="V57" s="141" t="n"/>
      <c r="W57" s="152" t="n"/>
      <c r="X57" s="141" t="n"/>
      <c r="Y57" s="141" t="n"/>
      <c r="Z57" s="141" t="n"/>
    </row>
    <row r="58" ht="18" customFormat="1" customHeight="1" s="173">
      <c r="A58" s="171" t="n"/>
      <c r="B58" s="153" t="inlineStr">
        <is>
          <t>Ti (Titaniao)</t>
        </is>
      </c>
      <c r="C58" s="154" t="n">
        <v>0</v>
      </c>
      <c r="D58" s="154" t="n"/>
      <c r="E58" s="154" t="n"/>
      <c r="F58" s="154" t="n"/>
      <c r="G58" s="154" t="n"/>
      <c r="H58" s="154" t="n"/>
      <c r="I58" s="154" t="n"/>
      <c r="J58" s="154" t="n"/>
      <c r="K58" s="154" t="n"/>
      <c r="L58" s="154" t="n"/>
      <c r="M58" s="140" t="n"/>
      <c r="N58" s="164" t="n"/>
      <c r="O58" s="178" t="n"/>
      <c r="P58" s="164" t="n"/>
      <c r="Q58" s="178" t="n"/>
      <c r="R58" s="172" t="n"/>
      <c r="S58" s="151" t="n"/>
      <c r="T58" s="141" t="n"/>
      <c r="U58" s="141" t="n"/>
      <c r="V58" s="141" t="n"/>
      <c r="W58" s="152" t="n"/>
      <c r="X58" s="141" t="n"/>
      <c r="Y58" s="141" t="n"/>
      <c r="Z58" s="141" t="n"/>
      <c r="AA58" s="141" t="n"/>
    </row>
    <row r="59" ht="18" customFormat="1" customHeight="1" s="173">
      <c r="A59" s="171" t="n"/>
      <c r="B59" s="153" t="inlineStr">
        <is>
          <t>Ag (Plata)</t>
        </is>
      </c>
      <c r="C59" s="154" t="n">
        <v>0</v>
      </c>
      <c r="D59" s="154" t="n"/>
      <c r="E59" s="154" t="n"/>
      <c r="F59" s="154" t="n"/>
      <c r="G59" s="154" t="n"/>
      <c r="H59" s="154" t="n"/>
      <c r="I59" s="154" t="n"/>
      <c r="J59" s="154" t="n"/>
      <c r="K59" s="154" t="n"/>
      <c r="L59" s="154" t="n"/>
      <c r="M59" s="149" t="n"/>
      <c r="N59" s="164" t="n"/>
      <c r="O59" s="178" t="n"/>
      <c r="P59" s="164" t="n"/>
      <c r="Q59" s="178" t="n"/>
      <c r="R59" s="172" t="n"/>
      <c r="S59" s="151" t="n"/>
      <c r="T59" s="141" t="n"/>
      <c r="U59" s="141" t="n"/>
      <c r="V59" s="141" t="n"/>
      <c r="W59" s="152" t="n"/>
      <c r="X59" s="141" t="n"/>
      <c r="Y59" s="141" t="n"/>
      <c r="Z59" s="141" t="n"/>
      <c r="AA59" s="141" t="n"/>
    </row>
    <row r="60" ht="18" customFormat="1" customHeight="1" s="173">
      <c r="A60" s="171" t="n"/>
      <c r="B60" s="158" t="n"/>
      <c r="C60" s="158" t="n"/>
      <c r="D60" s="158" t="n"/>
      <c r="E60" s="158" t="n"/>
      <c r="F60" s="158" t="n"/>
      <c r="G60" s="158" t="n"/>
      <c r="H60" s="158" t="n"/>
      <c r="I60" s="158" t="n"/>
      <c r="J60" s="158" t="n"/>
      <c r="K60" s="158" t="n"/>
      <c r="L60" s="158" t="n"/>
      <c r="M60" s="141" t="n"/>
      <c r="N60" s="141" t="n"/>
      <c r="O60" s="141" t="n"/>
      <c r="P60" s="141" t="n"/>
      <c r="Q60" s="141" t="n"/>
      <c r="R60" s="172" t="n"/>
      <c r="S60" s="151" t="n"/>
      <c r="T60" s="141" t="n"/>
      <c r="U60" s="141" t="n"/>
      <c r="V60" s="141" t="n"/>
      <c r="W60" s="152" t="n"/>
      <c r="X60" s="141" t="n"/>
      <c r="Y60" s="141" t="n"/>
      <c r="Z60" s="141" t="n"/>
      <c r="AA60" s="141" t="n"/>
    </row>
    <row r="61" ht="18" customFormat="1" customHeight="1" s="173">
      <c r="A61" s="171" t="n"/>
      <c r="B61" s="275" t="inlineStr">
        <is>
          <t>PRESENCIA DE ADITIVOS - PPM (mg/kg)</t>
        </is>
      </c>
      <c r="C61" s="446" t="n"/>
      <c r="D61" s="446" t="n"/>
      <c r="E61" s="446" t="n"/>
      <c r="F61" s="446" t="n"/>
      <c r="G61" s="446" t="n"/>
      <c r="H61" s="446" t="n"/>
      <c r="I61" s="446" t="n"/>
      <c r="J61" s="446" t="n"/>
      <c r="K61" s="446" t="n"/>
      <c r="L61" s="447" t="n"/>
      <c r="M61" s="141" t="n"/>
      <c r="N61" s="141" t="n"/>
      <c r="O61" s="141" t="n"/>
      <c r="P61" s="141" t="n"/>
      <c r="Q61" s="141" t="n"/>
      <c r="R61" s="172" t="n"/>
      <c r="S61" s="151" t="n"/>
      <c r="T61" s="141" t="n"/>
      <c r="U61" s="141" t="n"/>
      <c r="V61" s="141" t="n"/>
      <c r="W61" s="152" t="n"/>
      <c r="X61" s="141" t="n"/>
      <c r="Y61" s="141" t="n"/>
      <c r="Z61" s="141" t="n"/>
      <c r="AA61" s="141" t="n"/>
    </row>
    <row r="62" ht="18" customHeight="1">
      <c r="A62" s="142" t="n"/>
      <c r="B62" s="448" t="n"/>
      <c r="C62" s="449" t="n"/>
      <c r="D62" s="449" t="n"/>
      <c r="E62" s="449" t="n"/>
      <c r="F62" s="449" t="n"/>
      <c r="G62" s="449" t="n"/>
      <c r="H62" s="449" t="n"/>
      <c r="I62" s="449" t="n"/>
      <c r="J62" s="449" t="n"/>
      <c r="K62" s="449" t="n"/>
      <c r="L62" s="450" t="n"/>
      <c r="M62" s="141" t="n"/>
      <c r="N62" s="141" t="n"/>
      <c r="O62" s="141" t="n"/>
      <c r="P62" s="141" t="n"/>
      <c r="Q62" s="141" t="n"/>
      <c r="R62" s="155" t="n"/>
      <c r="S62" s="151" t="n"/>
      <c r="T62" s="141" t="n"/>
      <c r="U62" s="141" t="n"/>
      <c r="V62" s="141" t="n"/>
      <c r="W62" s="152" t="n"/>
      <c r="X62" s="141" t="n"/>
      <c r="Y62" s="141" t="n"/>
      <c r="Z62" s="141" t="n"/>
      <c r="AA62" s="141" t="n"/>
    </row>
    <row r="63" ht="18" customHeight="1">
      <c r="A63" s="142" t="n"/>
      <c r="B63" s="153" t="inlineStr">
        <is>
          <t>Ca (Calcio)</t>
        </is>
      </c>
      <c r="C63" s="154" t="n">
        <v>0</v>
      </c>
      <c r="D63" s="154" t="n"/>
      <c r="E63" s="154" t="n"/>
      <c r="F63" s="154" t="n"/>
      <c r="G63" s="154" t="n"/>
      <c r="H63" s="154" t="n"/>
      <c r="I63" s="154" t="n"/>
      <c r="J63" s="154" t="n"/>
      <c r="K63" s="154" t="n"/>
      <c r="L63" s="154" t="n"/>
      <c r="M63" s="141" t="n"/>
      <c r="N63" s="141" t="n"/>
      <c r="O63" s="141" t="n"/>
      <c r="P63" s="141" t="n"/>
      <c r="Q63" s="141" t="n"/>
      <c r="R63" s="155" t="n"/>
      <c r="S63" s="151" t="n"/>
      <c r="T63" s="141" t="n"/>
      <c r="U63" s="141" t="n"/>
      <c r="V63" s="141" t="n"/>
      <c r="W63" s="152" t="n"/>
      <c r="X63" s="141" t="n"/>
      <c r="Y63" s="141" t="n"/>
      <c r="Z63" s="141" t="n"/>
      <c r="AA63" s="141" t="n"/>
    </row>
    <row r="64" ht="18" customHeight="1">
      <c r="A64" s="142" t="n"/>
      <c r="B64" s="153" t="inlineStr">
        <is>
          <t>Mg (Magnesio)</t>
        </is>
      </c>
      <c r="C64" s="154" t="n">
        <v>0</v>
      </c>
      <c r="D64" s="154" t="n"/>
      <c r="E64" s="154" t="n"/>
      <c r="F64" s="154" t="n"/>
      <c r="G64" s="154" t="n"/>
      <c r="H64" s="154" t="n"/>
      <c r="I64" s="154" t="n"/>
      <c r="J64" s="154" t="n"/>
      <c r="K64" s="154" t="n"/>
      <c r="L64" s="154" t="n"/>
      <c r="M64" s="141" t="n"/>
      <c r="N64" s="141" t="n"/>
      <c r="O64" s="141" t="n"/>
      <c r="P64" s="141" t="n"/>
      <c r="Q64" s="141" t="n"/>
      <c r="R64" s="155" t="n"/>
      <c r="S64" s="151" t="n"/>
      <c r="T64" s="141" t="n"/>
      <c r="U64" s="141" t="n"/>
      <c r="V64" s="141" t="n"/>
      <c r="W64" s="152" t="n"/>
      <c r="X64" s="141" t="n"/>
      <c r="Y64" s="141" t="n"/>
      <c r="Z64" s="141" t="n"/>
      <c r="AA64" s="141" t="n"/>
    </row>
    <row r="65" ht="18" customHeight="1">
      <c r="A65" s="142" t="n"/>
      <c r="B65" s="153" t="inlineStr">
        <is>
          <t>Zn (Zinc)</t>
        </is>
      </c>
      <c r="C65" s="154" t="n">
        <v>0</v>
      </c>
      <c r="D65" s="154" t="n"/>
      <c r="E65" s="154" t="n"/>
      <c r="F65" s="154" t="n"/>
      <c r="G65" s="154" t="n"/>
      <c r="H65" s="154" t="n"/>
      <c r="I65" s="154" t="n"/>
      <c r="J65" s="154" t="n"/>
      <c r="K65" s="154" t="n"/>
      <c r="L65" s="154" t="n"/>
      <c r="M65" s="141" t="n"/>
      <c r="N65" s="141" t="n"/>
      <c r="O65" s="141" t="n"/>
      <c r="P65" s="141" t="n"/>
      <c r="Q65" s="141" t="n"/>
      <c r="R65" s="155" t="n"/>
      <c r="S65" s="151" t="n"/>
      <c r="T65" s="141" t="n"/>
      <c r="U65" s="141" t="n"/>
      <c r="V65" s="141" t="n"/>
      <c r="W65" s="152" t="n"/>
      <c r="X65" s="141" t="n"/>
      <c r="Y65" s="141" t="n"/>
      <c r="Z65" s="141" t="n"/>
      <c r="AA65" s="141" t="n"/>
    </row>
    <row r="66" ht="18" customHeight="1">
      <c r="A66" s="142" t="n"/>
      <c r="B66" s="153" t="inlineStr">
        <is>
          <t>P (Fosforo)</t>
        </is>
      </c>
      <c r="C66" s="154" t="n">
        <v>0</v>
      </c>
      <c r="D66" s="154" t="n"/>
      <c r="E66" s="154" t="n"/>
      <c r="F66" s="154" t="n"/>
      <c r="G66" s="154" t="n"/>
      <c r="H66" s="154" t="n"/>
      <c r="I66" s="154" t="n"/>
      <c r="J66" s="154" t="n"/>
      <c r="K66" s="154" t="n"/>
      <c r="L66" s="154" t="n"/>
      <c r="M66" s="141" t="n"/>
      <c r="N66" s="141" t="n"/>
      <c r="O66" s="141" t="n"/>
      <c r="P66" s="141" t="n"/>
      <c r="Q66" s="141" t="n"/>
      <c r="R66" s="155" t="n"/>
      <c r="S66" s="151" t="n"/>
      <c r="T66" s="141" t="n"/>
      <c r="U66" s="141" t="n"/>
      <c r="V66" s="141" t="n"/>
      <c r="W66" s="152" t="n"/>
      <c r="X66" s="141" t="n"/>
      <c r="Y66" s="141" t="n"/>
      <c r="Z66" s="141" t="n"/>
      <c r="AA66" s="141" t="n"/>
    </row>
    <row r="67" ht="18" customHeight="1" thickBot="1">
      <c r="A67" s="184" t="n"/>
      <c r="B67" s="185" t="n"/>
      <c r="C67" s="185" t="n"/>
      <c r="D67" s="185" t="n"/>
      <c r="E67" s="185" t="n"/>
      <c r="F67" s="185" t="n"/>
      <c r="G67" s="185" t="n"/>
      <c r="H67" s="185" t="n"/>
      <c r="I67" s="185" t="n"/>
      <c r="J67" s="185" t="n"/>
      <c r="K67" s="185" t="n"/>
      <c r="L67" s="185" t="n"/>
      <c r="M67" s="186" t="n"/>
      <c r="N67" s="186" t="n"/>
      <c r="O67" s="187" t="n"/>
      <c r="P67" s="187" t="n"/>
      <c r="Q67" s="187" t="n"/>
      <c r="R67" s="188" t="n"/>
      <c r="S67" s="151" t="n"/>
      <c r="T67" s="141" t="n"/>
      <c r="U67" s="141" t="n"/>
      <c r="V67" s="141" t="n"/>
      <c r="W67" s="152" t="n"/>
      <c r="X67" s="141" t="n"/>
      <c r="Y67" s="141" t="n"/>
      <c r="Z67" s="141" t="n"/>
      <c r="AA67" s="141" t="n"/>
    </row>
    <row r="68" ht="15" customHeight="1">
      <c r="A68" s="189" t="n"/>
      <c r="B68" s="190" t="n"/>
      <c r="C68" s="190" t="n"/>
      <c r="D68" s="190" t="n"/>
      <c r="E68" s="190" t="n"/>
      <c r="F68" s="190" t="n"/>
      <c r="G68" s="190" t="n"/>
      <c r="H68" s="190" t="n"/>
      <c r="I68" s="190" t="n"/>
      <c r="J68" s="190" t="n"/>
      <c r="K68" s="190" t="n"/>
      <c r="L68" s="190" t="n"/>
      <c r="M68" s="190" t="n"/>
      <c r="N68" s="190" t="n"/>
      <c r="O68" s="190" t="n"/>
      <c r="P68" s="190" t="n"/>
      <c r="Q68" s="190" t="n"/>
      <c r="R68" s="190" t="n"/>
      <c r="S68" s="190" t="n"/>
      <c r="T68" s="190" t="n"/>
      <c r="U68" s="190" t="n"/>
      <c r="V68" s="190" t="n"/>
      <c r="W68" s="191" t="n"/>
      <c r="X68" s="141" t="n"/>
      <c r="Y68" s="141" t="n"/>
      <c r="Z68" s="141" t="n"/>
      <c r="AA68" s="141" t="n"/>
    </row>
    <row r="69" ht="15" customHeight="1">
      <c r="A69" s="142" t="n"/>
      <c r="B69" s="149" t="inlineStr">
        <is>
          <t>ELABORADO POR:</t>
        </is>
      </c>
      <c r="D69" s="149" t="inlineStr">
        <is>
          <t>REVISADO POR:</t>
        </is>
      </c>
      <c r="E69" s="149" t="n"/>
      <c r="F69" s="149" t="n"/>
      <c r="W69" s="155" t="n"/>
      <c r="X69" s="141" t="n"/>
      <c r="Y69" s="141" t="n"/>
      <c r="Z69" s="141" t="n"/>
      <c r="AA69" s="141" t="n"/>
    </row>
    <row r="70" ht="42" customHeight="1">
      <c r="A70" s="142" t="n"/>
      <c r="G70" s="141" t="n"/>
      <c r="H70" s="141" t="n"/>
      <c r="I70" s="141" t="n"/>
      <c r="J70" s="141" t="n"/>
      <c r="K70" s="141" t="n"/>
      <c r="L70" s="141" t="n"/>
      <c r="W70" s="155" t="n"/>
      <c r="X70" s="141" t="n"/>
      <c r="Y70" s="141" t="n"/>
      <c r="Z70" s="141" t="n"/>
      <c r="AA70" s="141" t="n"/>
    </row>
    <row r="71" ht="41.25" customHeight="1" thickBot="1">
      <c r="A71" s="142" t="n"/>
      <c r="B71" s="192" t="n"/>
      <c r="D71" s="192" t="n"/>
      <c r="E71" s="192" t="n"/>
      <c r="F71" s="192" t="n"/>
      <c r="G71" s="141" t="n"/>
      <c r="H71" s="141" t="n"/>
      <c r="I71" s="141" t="n"/>
      <c r="J71" s="141" t="n"/>
      <c r="K71" s="141" t="n"/>
      <c r="L71" s="141" t="n"/>
      <c r="W71" s="155" t="n"/>
      <c r="X71" s="141" t="n"/>
      <c r="Y71" s="141" t="n"/>
      <c r="Z71" s="141" t="n"/>
      <c r="AA71" s="141" t="n"/>
    </row>
    <row r="72" ht="15" customHeight="1">
      <c r="A72" s="142" t="n"/>
      <c r="B72" s="149" t="inlineStr">
        <is>
          <t>Analista Autorizado</t>
        </is>
      </c>
      <c r="D72" s="149" t="inlineStr">
        <is>
          <t>Jefe de Servicio Post Venta</t>
        </is>
      </c>
      <c r="E72" s="149" t="n"/>
      <c r="F72" s="149" t="n"/>
      <c r="W72" s="155" t="n"/>
      <c r="X72" s="141" t="n"/>
      <c r="Y72" s="141" t="n"/>
      <c r="Z72" s="141" t="n"/>
      <c r="AA72" s="141" t="n"/>
    </row>
    <row r="73" ht="15" customHeight="1">
      <c r="A73" s="142" t="n"/>
      <c r="B73" s="149" t="inlineStr">
        <is>
          <t>Dpto. Laboratorio</t>
        </is>
      </c>
      <c r="D73" s="149" t="inlineStr">
        <is>
          <t>Dpto. Técnico y Laboratorio</t>
        </is>
      </c>
      <c r="E73" s="149" t="n"/>
      <c r="F73" s="149" t="n"/>
      <c r="W73" s="155" t="n"/>
      <c r="X73" s="141" t="n"/>
      <c r="Y73" s="141" t="n"/>
      <c r="Z73" s="141" t="n"/>
      <c r="AA73" s="141" t="n"/>
    </row>
    <row r="74" ht="12.75" customHeight="1" thickBot="1">
      <c r="A74" s="184" t="n"/>
      <c r="B74" s="193" t="inlineStr">
        <is>
          <t>Lubricantes Internacionales S.A.</t>
        </is>
      </c>
      <c r="C74" s="192" t="n"/>
      <c r="D74" s="193" t="inlineStr">
        <is>
          <t>Lubricantes Internacionales S.A.</t>
        </is>
      </c>
      <c r="E74" s="193" t="n"/>
      <c r="F74" s="193" t="n"/>
      <c r="G74" s="192" t="n"/>
      <c r="H74" s="192" t="n"/>
      <c r="I74" s="192" t="n"/>
      <c r="J74" s="192" t="n"/>
      <c r="K74" s="192" t="n"/>
      <c r="L74" s="192" t="n"/>
      <c r="M74" s="192" t="n"/>
      <c r="N74" s="192" t="n"/>
      <c r="O74" s="192" t="n"/>
      <c r="P74" s="192" t="n"/>
      <c r="Q74" s="192" t="n"/>
      <c r="R74" s="192" t="n"/>
      <c r="S74" s="192" t="n"/>
      <c r="T74" s="192" t="n"/>
      <c r="U74" s="192" t="n"/>
      <c r="V74" s="192" t="n"/>
      <c r="W74" s="188" t="n"/>
    </row>
    <row r="75" ht="15.75" customHeight="1" thickBot="1">
      <c r="A75" s="184" t="n"/>
      <c r="B75" s="194" t="inlineStr">
        <is>
          <t>VEN-FOR-006L  VERSION:1 FECHA 2021-SEPT-14</t>
        </is>
      </c>
      <c r="C75" s="192" t="n"/>
      <c r="D75" s="192" t="n"/>
      <c r="E75" s="192" t="n"/>
      <c r="F75" s="192" t="n"/>
      <c r="G75" s="192" t="n"/>
      <c r="H75" s="192" t="n"/>
      <c r="I75" s="192" t="n"/>
      <c r="J75" s="192" t="n"/>
      <c r="K75" s="192" t="n"/>
      <c r="L75" s="192" t="n"/>
      <c r="M75" s="192" t="n"/>
      <c r="N75" s="192" t="n"/>
      <c r="O75" s="192" t="n"/>
      <c r="P75" s="192" t="n"/>
      <c r="Q75" s="192" t="n"/>
      <c r="R75" s="192" t="n"/>
      <c r="S75" s="192" t="n"/>
      <c r="T75" s="192" t="n"/>
      <c r="U75" s="192" t="n"/>
      <c r="V75" s="192" t="n"/>
      <c r="W75" s="192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BWt47aYjtY2rGOtLPKXA+g==" formatRows="1" sort="1" spinCount="100000" hashValue="/cZUqZDsh2eGO8KE3yRs3r0X81ZmAxKXIdV1bkbFYyEtryJIQKgjotr1cjSpS0rCkOXasiq+M1cailQDYJ8/QQ=="/>
  <mergeCells count="47">
    <mergeCell ref="P26:Q26"/>
    <mergeCell ref="H3:K3"/>
    <mergeCell ref="P38:Q38"/>
    <mergeCell ref="N54:O54"/>
    <mergeCell ref="C2:G3"/>
    <mergeCell ref="B37:L38"/>
    <mergeCell ref="B10:L11"/>
    <mergeCell ref="N30:Q30"/>
    <mergeCell ref="L6:R6"/>
    <mergeCell ref="P31:Q31"/>
    <mergeCell ref="B44:L45"/>
    <mergeCell ref="B53:L54"/>
    <mergeCell ref="H5:K5"/>
    <mergeCell ref="A1:W1"/>
    <mergeCell ref="N21:O21"/>
    <mergeCell ref="C4:G8"/>
    <mergeCell ref="S2:W2"/>
    <mergeCell ref="P21:Q21"/>
    <mergeCell ref="H8:K8"/>
    <mergeCell ref="L2:R2"/>
    <mergeCell ref="N20:Q20"/>
    <mergeCell ref="B20:L21"/>
    <mergeCell ref="L7:R7"/>
    <mergeCell ref="S5:W8"/>
    <mergeCell ref="N25:Q25"/>
    <mergeCell ref="B30:L31"/>
    <mergeCell ref="H4:K4"/>
    <mergeCell ref="N37:Q37"/>
    <mergeCell ref="N53:Q53"/>
    <mergeCell ref="N38:O38"/>
    <mergeCell ref="L3:R3"/>
    <mergeCell ref="S3:W4"/>
    <mergeCell ref="H6:K6"/>
    <mergeCell ref="P28:Q28"/>
    <mergeCell ref="N31:O31"/>
    <mergeCell ref="B9:O9"/>
    <mergeCell ref="L5:R5"/>
    <mergeCell ref="A2:B8"/>
    <mergeCell ref="B61:L62"/>
    <mergeCell ref="L8:R8"/>
    <mergeCell ref="L4:R4"/>
    <mergeCell ref="H2:K2"/>
    <mergeCell ref="N44:Q44"/>
    <mergeCell ref="H7:K7"/>
    <mergeCell ref="N45:O45"/>
    <mergeCell ref="P45:Q45"/>
    <mergeCell ref="P54:Q54"/>
  </mergeCells>
  <conditionalFormatting sqref="C22">
    <cfRule type="cellIs" priority="32" operator="greaterThan" dxfId="0" stopIfTrue="1">
      <formula>$Q$22</formula>
    </cfRule>
    <cfRule type="cellIs" priority="31" operator="lessThan" dxfId="0" stopIfTrue="1">
      <formula>$O$22</formula>
    </cfRule>
  </conditionalFormatting>
  <conditionalFormatting sqref="C23">
    <cfRule type="cellIs" priority="29" operator="lessThan" dxfId="0" stopIfTrue="1">
      <formula>$O$23</formula>
    </cfRule>
    <cfRule type="cellIs" priority="30" operator="greaterThan" dxfId="0" stopIfTrue="1">
      <formula>$Q$23</formula>
    </cfRule>
  </conditionalFormatting>
  <conditionalFormatting sqref="C18:L18">
    <cfRule type="containsText" priority="22" operator="containsText" dxfId="2" stopIfTrue="1" text="ANORMAL">
      <formula>NOT(ISERROR(SEARCH("ANORMAL",C18)))</formula>
    </cfRule>
    <cfRule type="containsText" priority="23" operator="containsText" dxfId="3" stopIfTrue="1" text="N/D">
      <formula>NOT(ISERROR(SEARCH("N/D",C18)))</formula>
    </cfRule>
    <cfRule type="containsText" priority="24" operator="containsText" dxfId="0" stopIfTrue="1" text="PRECAUCIÓN">
      <formula>NOT(ISERROR(SEARCH("PRECAUCIÓN",C18)))</formula>
    </cfRule>
    <cfRule type="containsText" priority="25" operator="containsText" dxfId="1" stopIfTrue="1" text="NORMAL">
      <formula>NOT(ISERROR(SEARCH("NORMAL",C18)))</formula>
    </cfRule>
  </conditionalFormatting>
  <conditionalFormatting sqref="C26:L26">
    <cfRule type="cellIs" priority="8" operator="equal" dxfId="2" stopIfTrue="1">
      <formula>"POSITIVO"</formula>
    </cfRule>
  </conditionalFormatting>
  <conditionalFormatting sqref="C27:L27">
    <cfRule type="cellIs" priority="11" operator="greaterThanOrEqual" dxfId="2" stopIfTrue="1">
      <formula>$Q$27</formula>
    </cfRule>
  </conditionalFormatting>
  <conditionalFormatting sqref="C28:L28">
    <cfRule type="cellIs" priority="7" operator="equal" dxfId="2" stopIfTrue="1">
      <formula>"POSITIVO"</formula>
    </cfRule>
  </conditionalFormatting>
  <conditionalFormatting sqref="C32:L32">
    <cfRule type="cellIs" priority="53" operator="greaterThanOrEqual" dxfId="2" stopIfTrue="1">
      <formula>$Q$32</formula>
    </cfRule>
    <cfRule type="cellIs" priority="54" operator="between" dxfId="0" stopIfTrue="1">
      <formula>$O$32</formula>
      <formula>$Q$32</formula>
    </cfRule>
  </conditionalFormatting>
  <conditionalFormatting sqref="C33:L33">
    <cfRule type="cellIs" priority="3" operator="greaterThanOrEqual" dxfId="2" stopIfTrue="1">
      <formula>$Q$33</formula>
    </cfRule>
    <cfRule type="cellIs" priority="4" operator="between" dxfId="0" stopIfTrue="1">
      <formula>$O$33</formula>
      <formula>$Q$33</formula>
    </cfRule>
  </conditionalFormatting>
  <conditionalFormatting sqref="C34:L34">
    <cfRule type="cellIs" priority="5" operator="greaterThanOrEqual" dxfId="2" stopIfTrue="1">
      <formula>$Q$34</formula>
    </cfRule>
    <cfRule type="cellIs" priority="6" operator="between" dxfId="0" stopIfTrue="1">
      <formula>$O$34</formula>
      <formula>$Q$34</formula>
    </cfRule>
  </conditionalFormatting>
  <conditionalFormatting sqref="C35:L35">
    <cfRule type="cellIs" priority="2" operator="between" dxfId="0" stopIfTrue="1">
      <formula>$O$35</formula>
      <formula>$Q$35</formula>
    </cfRule>
    <cfRule type="cellIs" priority="1" operator="greaterThanOrEqual" dxfId="2" stopIfTrue="1">
      <formula>$Q$35</formula>
    </cfRule>
  </conditionalFormatting>
  <conditionalFormatting sqref="C39:L39">
    <cfRule type="cellIs" priority="40" operator="greaterThanOrEqual" dxfId="2" stopIfTrue="1">
      <formula>$Q$39</formula>
    </cfRule>
    <cfRule type="cellIs" priority="41" operator="between" dxfId="0" stopIfTrue="1">
      <formula>$O$39</formula>
      <formula>$Q$39</formula>
    </cfRule>
  </conditionalFormatting>
  <conditionalFormatting sqref="C40:L40">
    <cfRule type="cellIs" priority="38" operator="greaterThanOrEqual" dxfId="2" stopIfTrue="1">
      <formula>$Q$40</formula>
    </cfRule>
    <cfRule type="cellIs" priority="39" operator="between" dxfId="0" stopIfTrue="1">
      <formula>$O$40</formula>
      <formula>$Q$40</formula>
    </cfRule>
  </conditionalFormatting>
  <conditionalFormatting sqref="C41:L41">
    <cfRule type="cellIs" priority="16" operator="greaterThanOrEqual" dxfId="2" stopIfTrue="1">
      <formula>$Q$41</formula>
    </cfRule>
    <cfRule type="cellIs" priority="17" operator="between" dxfId="0" stopIfTrue="1">
      <formula>$O$41</formula>
      <formula>$Q$41</formula>
    </cfRule>
  </conditionalFormatting>
  <conditionalFormatting sqref="C42:L42">
    <cfRule type="cellIs" priority="14" operator="greaterThanOrEqual" dxfId="2" stopIfTrue="1">
      <formula>$Q$42</formula>
    </cfRule>
    <cfRule type="cellIs" priority="15" operator="between" dxfId="0" stopIfTrue="1">
      <formula>$O$42</formula>
      <formula>$Q$42</formula>
    </cfRule>
  </conditionalFormatting>
  <conditionalFormatting sqref="C46:L46">
    <cfRule type="cellIs" priority="12" operator="greaterThanOrEqual" dxfId="2" stopIfTrue="1">
      <formula>$Q$46</formula>
    </cfRule>
    <cfRule type="cellIs" priority="13" operator="between" dxfId="0" stopIfTrue="1">
      <formula>$O$46</formula>
      <formula>$Q$46</formula>
    </cfRule>
  </conditionalFormatting>
  <conditionalFormatting sqref="C47:L47">
    <cfRule type="cellIs" priority="49" operator="between" dxfId="0" stopIfTrue="1">
      <formula>$O$47</formula>
      <formula>$Q$47</formula>
    </cfRule>
    <cfRule type="cellIs" priority="48" operator="greaterThanOrEqual" dxfId="2" stopIfTrue="1">
      <formula>$Q$47</formula>
    </cfRule>
  </conditionalFormatting>
  <conditionalFormatting sqref="C48:L48">
    <cfRule type="cellIs" priority="50" operator="greaterThanOrEqual" dxfId="2" stopIfTrue="1">
      <formula>$Q$48</formula>
    </cfRule>
    <cfRule type="cellIs" priority="51" operator="between" dxfId="0" stopIfTrue="1">
      <formula>$O$48</formula>
      <formula>$Q$48</formula>
    </cfRule>
  </conditionalFormatting>
  <conditionalFormatting sqref="C49:L49">
    <cfRule type="cellIs" priority="46" operator="greaterThanOrEqual" dxfId="2" stopIfTrue="1">
      <formula>$Q$49</formula>
    </cfRule>
    <cfRule type="cellIs" priority="47" operator="between" dxfId="0" stopIfTrue="1">
      <formula>$O$49</formula>
      <formula>$Q$49</formula>
    </cfRule>
  </conditionalFormatting>
  <conditionalFormatting sqref="C50:L50">
    <cfRule type="cellIs" priority="44" operator="greaterThanOrEqual" dxfId="2" stopIfTrue="1">
      <formula>$Q$50</formula>
    </cfRule>
    <cfRule type="cellIs" priority="45" operator="between" dxfId="0" stopIfTrue="1">
      <formula>$O$50</formula>
      <formula>$Q$50</formula>
    </cfRule>
  </conditionalFormatting>
  <conditionalFormatting sqref="C51:L51">
    <cfRule type="cellIs" priority="42" operator="greaterThanOrEqual" dxfId="2" stopIfTrue="1">
      <formula>$Q$51</formula>
    </cfRule>
    <cfRule type="cellIs" priority="43" operator="between" dxfId="0" stopIfTrue="1">
      <formula>$O$51</formula>
      <formula>$Q$51</formula>
    </cfRule>
  </conditionalFormatting>
  <conditionalFormatting sqref="C55:L55">
    <cfRule type="cellIs" priority="37" operator="greaterThanOrEqual" dxfId="2" stopIfTrue="1">
      <formula>$Q$55</formula>
    </cfRule>
  </conditionalFormatting>
  <conditionalFormatting sqref="C56:L56">
    <cfRule type="cellIs" priority="36" operator="greaterThanOrEqual" dxfId="2" stopIfTrue="1">
      <formula>$Q$56</formula>
    </cfRule>
  </conditionalFormatting>
  <conditionalFormatting sqref="C57:L57">
    <cfRule type="cellIs" priority="35" operator="greaterThanOrEqual" dxfId="2" stopIfTrue="1">
      <formula>$Q$57</formula>
    </cfRule>
  </conditionalFormatting>
  <conditionalFormatting sqref="C58:L58">
    <cfRule type="cellIs" priority="33" operator="greaterThanOrEqual" dxfId="2" stopIfTrue="1">
      <formula>$Q$58</formula>
    </cfRule>
  </conditionalFormatting>
  <conditionalFormatting sqref="C59:L59">
    <cfRule type="cellIs" priority="34" operator="greaterThanOrEqual" dxfId="2" stopIfTrue="1">
      <formula>$Q$59</formula>
    </cfRule>
  </conditionalFormatting>
  <conditionalFormatting sqref="S3">
    <cfRule type="containsText" priority="18" operator="containsText" dxfId="3" stopIfTrue="1" text="SIN EVALUACIÓN">
      <formula>NOT(ISERROR(SEARCH("SIN EVALUACIÓN",S3)))</formula>
    </cfRule>
    <cfRule type="containsText" priority="21" operator="containsText" dxfId="2" stopIfTrue="1" text="PARÁMETROS ANORMALES">
      <formula>NOT(ISERROR(SEARCH("PARÁMETROS ANORMALES",S3)))</formula>
    </cfRule>
    <cfRule type="containsText" priority="20" operator="containsText" dxfId="1" stopIfTrue="1" text="PARÁMETROS NORMALES">
      <formula>NOT(ISERROR(SEARCH("PARÁMETROS NORMALES",S3)))</formula>
    </cfRule>
    <cfRule type="containsText" priority="19" operator="containsText" dxfId="0" stopIfTrue="1" text="PRECAUCIÓN">
      <formula>NOT(ISERROR(SEARCH("PRECAUCIÓN",S3)))</formula>
    </cfRule>
  </conditionalFormatting>
  <conditionalFormatting sqref="X21:AB21">
    <cfRule type="iconSet" priority="60">
      <iconSet iconSet="3Arrows">
        <cfvo type="percent" val="0"/>
        <cfvo type="percent" val="33"/>
        <cfvo type="percent" val="67"/>
      </iconSet>
    </cfRule>
  </conditionalFormatting>
  <conditionalFormatting sqref="X31:AB31">
    <cfRule type="iconSet" priority="59">
      <iconSet iconSet="3Arrows">
        <cfvo type="percent" val="0"/>
        <cfvo type="percent" val="33"/>
        <cfvo type="percent" val="67"/>
      </iconSet>
    </cfRule>
  </conditionalFormatting>
  <dataValidations count="4">
    <dataValidation sqref="C18:L18" showDropDown="0" showInputMessage="1" showErrorMessage="1" allowBlank="1" type="list">
      <formula1>"NORMAL,PRECAUCIÓN,ANORMAL,N/D"</formula1>
    </dataValidation>
    <dataValidation sqref="L2" showDropDown="0" showInputMessage="1" showErrorMessage="1" allowBlank="1" error="PARAMETROS FUERA DEL LIMITE CONDENATORIO_x000a_"/>
    <dataValidation sqref="S3" showDropDown="0" showInputMessage="1" showErrorMessage="1" allowBlank="1" type="list">
      <formula1>"PARÁMETROS NORMALES,PRECAUCIÓN,PARÁMETROS ANORMALES,SIN EVALUACIÓN"</formula1>
    </dataValidation>
    <dataValidation sqref="C26:L26 C28:L28" showDropDown="0" showInputMessage="1" showErrorMessage="1" allowBlank="1" type="list">
      <formula1>"NEGATIVO, POSITIVO"</formula1>
    </dataValidation>
  </dataValidations>
  <pageMargins left="0" right="0" top="0" bottom="0" header="0" footer="0"/>
  <pageSetup orientation="landscape" scale="42"/>
  <colBreaks count="1" manualBreakCount="1">
    <brk id="23" min="0" max="1048575" man="1"/>
  </colBreak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94"/>
  <sheetViews>
    <sheetView showGridLines="0" showWhiteSpace="0" view="pageLayout" topLeftCell="C28" zoomScale="140" zoomScaleNormal="100" zoomScaleSheetLayoutView="80" zoomScalePageLayoutView="140" workbookViewId="0">
      <selection activeCell="C87" sqref="C87:I87"/>
    </sheetView>
  </sheetViews>
  <sheetFormatPr baseColWidth="10" defaultColWidth="10.85546875" defaultRowHeight="15"/>
  <cols>
    <col width="26.42578125" customWidth="1" style="43" min="1" max="1"/>
    <col width="29.140625" customWidth="1" style="43" min="2" max="2"/>
    <col width="10.85546875" customWidth="1" style="43" min="3" max="16384"/>
  </cols>
  <sheetData>
    <row r="1" ht="15" customHeight="1">
      <c r="A1" s="47" t="n"/>
      <c r="B1" s="457" t="inlineStr">
        <is>
          <t>INSTRUCTIVO PARA REPORTE DE ENSAYO.</t>
        </is>
      </c>
      <c r="C1" s="393" t="n"/>
      <c r="D1" s="393" t="n"/>
      <c r="E1" s="393" t="n"/>
      <c r="F1" s="393" t="n"/>
      <c r="G1" s="393" t="n"/>
      <c r="H1" s="393" t="n"/>
      <c r="I1" s="393" t="n"/>
      <c r="J1" s="393" t="n"/>
      <c r="K1" s="393" t="n"/>
      <c r="L1" s="403" t="n"/>
      <c r="M1" s="458" t="inlineStr">
        <is>
          <t>Pag 1 de 1</t>
        </is>
      </c>
      <c r="N1" s="393" t="n"/>
      <c r="O1" s="403" t="n"/>
    </row>
    <row r="2" ht="15" customHeight="1">
      <c r="A2" s="48" t="n"/>
      <c r="B2" s="20" t="n"/>
      <c r="L2" s="21" t="n"/>
      <c r="M2" s="20" t="n"/>
      <c r="O2" s="21" t="n"/>
    </row>
    <row r="3" ht="15" customHeight="1">
      <c r="A3" s="48" t="n"/>
      <c r="B3" s="20" t="n"/>
      <c r="L3" s="21" t="n"/>
      <c r="M3" s="20" t="n"/>
      <c r="O3" s="21" t="n"/>
    </row>
    <row r="4" ht="15" customHeight="1">
      <c r="A4" s="48" t="n"/>
      <c r="B4" s="20" t="n"/>
      <c r="L4" s="21" t="n"/>
      <c r="M4" s="20" t="n"/>
      <c r="O4" s="21" t="n"/>
    </row>
    <row r="5" ht="15" customHeight="1">
      <c r="A5" s="48" t="n"/>
      <c r="B5" s="20" t="n"/>
      <c r="L5" s="21" t="n"/>
      <c r="M5" s="20" t="n"/>
      <c r="O5" s="21" t="n"/>
    </row>
    <row r="6" ht="15.75" customHeight="1" thickBot="1">
      <c r="A6" s="49" t="n"/>
      <c r="B6" s="406" t="n"/>
      <c r="C6" s="73" t="n"/>
      <c r="D6" s="73" t="n"/>
      <c r="E6" s="73" t="n"/>
      <c r="F6" s="73" t="n"/>
      <c r="G6" s="73" t="n"/>
      <c r="H6" s="73" t="n"/>
      <c r="I6" s="73" t="n"/>
      <c r="J6" s="73" t="n"/>
      <c r="K6" s="73" t="n"/>
      <c r="L6" s="407" t="n"/>
      <c r="M6" s="406" t="n"/>
      <c r="N6" s="73" t="n"/>
      <c r="O6" s="407" t="n"/>
    </row>
    <row r="7" ht="34.5" customHeight="1" thickBot="1"/>
    <row r="8" ht="16.5" customHeight="1" thickTop="1">
      <c r="A8" s="58" t="inlineStr">
        <is>
          <t>
</t>
        </is>
      </c>
      <c r="B8" s="59" t="n"/>
      <c r="C8" s="59" t="n"/>
      <c r="D8" s="59" t="n"/>
      <c r="E8" s="59" t="n"/>
      <c r="F8" s="59" t="n"/>
      <c r="G8" s="59" t="n"/>
      <c r="H8" s="59" t="n"/>
      <c r="I8" s="59" t="n"/>
      <c r="J8" s="59" t="n"/>
      <c r="K8" s="59" t="n"/>
      <c r="L8" s="59" t="n"/>
      <c r="M8" s="59" t="n"/>
      <c r="N8" s="59" t="n"/>
      <c r="O8" s="60" t="n"/>
    </row>
    <row r="9" ht="40.5" customHeight="1">
      <c r="A9" s="459" t="inlineStr">
        <is>
          <t>Lab-Lubrisa  con el propósito de brindar un mejor servicio POST-VENTA ha optado por mejorar su reporte de ensayos para las muestras de aceite usado. 
Por ellos en este documento se detalla las actualizaciones de este reporte:</t>
        </is>
      </c>
      <c r="O9" s="460" t="n"/>
    </row>
    <row r="10" ht="14.45" customHeight="1">
      <c r="A10" s="61" t="n"/>
      <c r="B10" s="62" t="n"/>
      <c r="C10" s="62" t="n"/>
      <c r="D10" s="62" t="n"/>
      <c r="E10" s="62" t="n"/>
      <c r="F10" s="62" t="n"/>
      <c r="G10" s="62" t="n"/>
      <c r="H10" s="62" t="n"/>
      <c r="I10" s="62" t="n"/>
      <c r="J10" s="62" t="n"/>
      <c r="K10" s="62" t="n"/>
      <c r="L10" s="62" t="n"/>
      <c r="M10" s="62" t="n"/>
      <c r="N10" s="62" t="n"/>
      <c r="O10" s="63" t="n"/>
    </row>
    <row r="11">
      <c r="A11" s="51" t="n"/>
      <c r="O11" s="52" t="n"/>
    </row>
    <row r="12" ht="20.45" customHeight="1">
      <c r="A12" s="461" t="inlineStr">
        <is>
          <t>Para llevar un seguimiento a las muestras que se analizan es necesario que la información que se proporciona en las etiquetas sea la correcta y completa, ya que forma parte del encabezado de reporte de ensayo y en la posterioridad nuevas muestras sean reportadas en el mismo informe.</t>
        </is>
      </c>
      <c r="O12" s="460" t="n"/>
    </row>
    <row r="13" ht="24.95" customHeight="1">
      <c r="A13" s="462" t="n"/>
      <c r="O13" s="460" t="n"/>
    </row>
    <row r="14" ht="20.1" customHeight="1">
      <c r="A14" s="51" t="n"/>
      <c r="O14" s="52" t="n"/>
    </row>
    <row r="15">
      <c r="A15" s="51" t="n"/>
      <c r="O15" s="52" t="n"/>
    </row>
    <row r="16">
      <c r="A16" s="51" t="n"/>
      <c r="O16" s="52" t="n"/>
    </row>
    <row r="17">
      <c r="A17" s="51" t="n"/>
      <c r="O17" s="52" t="n"/>
    </row>
    <row r="18">
      <c r="A18" s="51" t="n"/>
      <c r="O18" s="52" t="n"/>
    </row>
    <row r="19">
      <c r="A19" s="51" t="n"/>
      <c r="O19" s="52" t="n"/>
    </row>
    <row r="20">
      <c r="A20" s="51" t="n"/>
      <c r="O20" s="52" t="n"/>
    </row>
    <row r="21">
      <c r="A21" s="51" t="n"/>
      <c r="O21" s="52" t="n"/>
    </row>
    <row r="22">
      <c r="A22" s="51" t="n"/>
      <c r="O22" s="52" t="n"/>
    </row>
    <row r="23">
      <c r="A23" s="51" t="n"/>
      <c r="O23" s="52" t="n"/>
    </row>
    <row r="24">
      <c r="A24" s="51" t="n"/>
      <c r="O24" s="52" t="n"/>
    </row>
    <row r="25">
      <c r="A25" s="51" t="n"/>
      <c r="O25" s="52" t="n"/>
    </row>
    <row r="26" ht="60" customHeight="1">
      <c r="A26" s="463" t="inlineStr">
        <is>
          <t>A continuación se reportan los resultados obtenidos según el tipo de aceite ha analizar:
MOTOR - CARTER
HIDRÁULICOS
INDUSTRIAL</t>
        </is>
      </c>
      <c r="O26" s="460" t="n"/>
    </row>
    <row r="27">
      <c r="A27" s="51" t="n"/>
      <c r="O27" s="52" t="n"/>
    </row>
    <row r="28">
      <c r="A28" s="51" t="n"/>
      <c r="O28" s="52" t="n"/>
    </row>
    <row r="29">
      <c r="A29" s="51" t="n"/>
      <c r="O29" s="52" t="n"/>
    </row>
    <row r="30">
      <c r="A30" s="51" t="n"/>
      <c r="O30" s="52" t="n"/>
    </row>
    <row r="31">
      <c r="A31" s="51" t="n"/>
      <c r="O31" s="52" t="n"/>
    </row>
    <row r="32">
      <c r="A32" s="51" t="n"/>
      <c r="O32" s="52" t="n"/>
    </row>
    <row r="33">
      <c r="A33" s="51" t="n"/>
      <c r="O33" s="52" t="n"/>
    </row>
    <row r="34">
      <c r="A34" s="51" t="n"/>
      <c r="O34" s="52" t="n"/>
    </row>
    <row r="35">
      <c r="A35" s="51" t="n"/>
      <c r="O35" s="52" t="n"/>
    </row>
    <row r="36">
      <c r="A36" s="51" t="n"/>
      <c r="O36" s="52" t="n"/>
    </row>
    <row r="37">
      <c r="A37" s="51" t="n"/>
      <c r="O37" s="52" t="n"/>
    </row>
    <row r="38">
      <c r="A38" s="51" t="n"/>
      <c r="O38" s="52" t="n"/>
    </row>
    <row r="39">
      <c r="A39" s="51" t="n"/>
      <c r="O39" s="52" t="n"/>
    </row>
    <row r="40">
      <c r="A40" s="51" t="n"/>
      <c r="O40" s="52" t="n"/>
    </row>
    <row r="41">
      <c r="A41" s="51" t="n"/>
      <c r="O41" s="52" t="n"/>
    </row>
    <row r="42">
      <c r="A42" s="51" t="n"/>
      <c r="O42" s="52" t="n"/>
    </row>
    <row r="43">
      <c r="A43" s="51" t="n"/>
      <c r="O43" s="52" t="n"/>
    </row>
    <row r="44">
      <c r="A44" s="51" t="n"/>
      <c r="O44" s="52" t="n"/>
    </row>
    <row r="45">
      <c r="A45" s="51" t="n"/>
      <c r="O45" s="52" t="n"/>
    </row>
    <row r="46">
      <c r="A46" s="51" t="n"/>
      <c r="O46" s="52" t="n"/>
    </row>
    <row r="47">
      <c r="A47" s="51" t="n"/>
      <c r="O47" s="52" t="n"/>
    </row>
    <row r="48">
      <c r="A48" s="51" t="n"/>
      <c r="O48" s="52" t="n"/>
    </row>
    <row r="49">
      <c r="A49" s="51" t="n"/>
      <c r="O49" s="52" t="n"/>
    </row>
    <row r="50">
      <c r="A50" s="51" t="n"/>
      <c r="O50" s="52" t="n"/>
    </row>
    <row r="51">
      <c r="A51" s="51" t="n"/>
      <c r="O51" s="52" t="n"/>
    </row>
    <row r="52">
      <c r="A52" s="51" t="n"/>
      <c r="O52" s="52" t="n"/>
    </row>
    <row r="53">
      <c r="A53" s="51" t="n"/>
      <c r="O53" s="52" t="n"/>
    </row>
    <row r="54">
      <c r="A54" s="51" t="n"/>
      <c r="O54" s="52" t="n"/>
    </row>
    <row r="55">
      <c r="A55" s="51" t="n"/>
      <c r="O55" s="52" t="n"/>
    </row>
    <row r="56">
      <c r="A56" s="51" t="n"/>
      <c r="O56" s="52" t="n"/>
    </row>
    <row r="57">
      <c r="A57" s="51" t="n"/>
      <c r="O57" s="52" t="n"/>
    </row>
    <row r="58" ht="48.95" customHeight="1">
      <c r="A58" s="461" t="inlineStr">
        <is>
          <t>Para los resultados ingresado: Cuando un párametro no se encuentra dentro de los rangos generales, este resultado automaticamente se cambiara de color con la finalidad de que sea facilmente identificable su Anormalidad.</t>
        </is>
      </c>
      <c r="O58" s="460" t="n"/>
    </row>
    <row r="59">
      <c r="A59" s="51" t="n"/>
      <c r="O59" s="52" t="n"/>
    </row>
    <row r="60">
      <c r="A60" s="51" t="n"/>
      <c r="O60" s="52" t="n"/>
    </row>
    <row r="61">
      <c r="A61" s="51" t="n"/>
      <c r="O61" s="52" t="n"/>
    </row>
    <row r="62">
      <c r="A62" s="51" t="n"/>
      <c r="O62" s="52" t="n"/>
    </row>
    <row r="63">
      <c r="A63" s="51" t="n"/>
      <c r="O63" s="52" t="n"/>
    </row>
    <row r="64">
      <c r="A64" s="51" t="n"/>
      <c r="O64" s="52" t="n"/>
    </row>
    <row r="65">
      <c r="A65" s="51" t="n"/>
      <c r="O65" s="52" t="n"/>
    </row>
    <row r="66">
      <c r="A66" s="51" t="n"/>
      <c r="O66" s="52" t="n"/>
    </row>
    <row r="67">
      <c r="A67" s="51" t="n"/>
      <c r="O67" s="52" t="n"/>
    </row>
    <row r="68">
      <c r="A68" s="51" t="n"/>
      <c r="O68" s="52" t="n"/>
    </row>
    <row r="69">
      <c r="A69" s="51" t="n"/>
      <c r="O69" s="52" t="n"/>
    </row>
    <row r="70">
      <c r="A70" s="51" t="n"/>
      <c r="O70" s="52" t="n"/>
    </row>
    <row r="71">
      <c r="A71" s="51" t="n"/>
      <c r="O71" s="52" t="n"/>
    </row>
    <row r="72">
      <c r="A72" s="51" t="n"/>
      <c r="O72" s="52" t="n"/>
    </row>
    <row r="73">
      <c r="A73" s="51" t="n"/>
      <c r="O73" s="52" t="n"/>
    </row>
    <row r="74">
      <c r="A74" s="51" t="n"/>
      <c r="O74" s="52" t="n"/>
    </row>
    <row r="75">
      <c r="A75" s="51" t="n"/>
      <c r="O75" s="52" t="n"/>
    </row>
    <row r="76">
      <c r="A76" s="51" t="n"/>
      <c r="O76" s="52" t="n"/>
    </row>
    <row r="77">
      <c r="A77" s="51" t="n"/>
      <c r="O77" s="52" t="n"/>
    </row>
    <row r="78">
      <c r="A78" s="51" t="n"/>
      <c r="O78" s="52" t="n"/>
    </row>
    <row r="79">
      <c r="A79" s="51" t="n"/>
      <c r="O79" s="52" t="n"/>
    </row>
    <row r="80">
      <c r="A80" s="51" t="n"/>
      <c r="O80" s="52" t="n"/>
    </row>
    <row r="81">
      <c r="A81" s="51" t="n"/>
      <c r="O81" s="52" t="n"/>
    </row>
    <row r="82">
      <c r="A82" s="51" t="n"/>
      <c r="O82" s="52" t="n"/>
    </row>
    <row r="83" ht="26.45" customHeight="1">
      <c r="A83" s="464" t="inlineStr">
        <is>
          <t>En la parte superior derecha del reporte se mostrará una evaluación visual en base a la ultima muestra analizada, que puede presentarse de las siguientes formas:</t>
        </is>
      </c>
      <c r="O83" s="460" t="n"/>
    </row>
    <row r="84" ht="15.6" customHeight="1">
      <c r="A84" s="53" t="n"/>
      <c r="B84" s="50" t="n"/>
      <c r="C84" s="50" t="n"/>
      <c r="D84" s="50" t="n"/>
      <c r="E84" s="50" t="n"/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4" t="n"/>
    </row>
    <row r="85" ht="15.75" customHeight="1" thickBot="1">
      <c r="A85" s="51" t="n"/>
      <c r="O85" s="52" t="n"/>
    </row>
    <row r="86" ht="27.75" customHeight="1" thickBot="1">
      <c r="A86" s="366" t="inlineStr">
        <is>
          <t>Evaluación de ultima muestra:</t>
        </is>
      </c>
      <c r="B86" s="44" t="inlineStr">
        <is>
          <t>SIN EVALUACIÓN</t>
        </is>
      </c>
      <c r="C86" s="355" t="inlineStr">
        <is>
          <t>No se ha realizado la evaluación correspondiente</t>
        </is>
      </c>
      <c r="O86" s="52" t="n"/>
    </row>
    <row r="87" ht="30.75" customHeight="1" thickBot="1">
      <c r="A87" s="465" t="n"/>
      <c r="B87" s="45" t="inlineStr">
        <is>
          <t>PARAMETROS NORMALES</t>
        </is>
      </c>
      <c r="C87" s="355" t="inlineStr">
        <is>
          <t>Todos los parametros se encuentra dentro de los rangos generales</t>
        </is>
      </c>
      <c r="O87" s="52" t="n"/>
    </row>
    <row r="88" ht="35.25" customHeight="1" thickBot="1">
      <c r="A88" s="82" t="n"/>
      <c r="B88" s="83" t="inlineStr">
        <is>
          <t>PRECAUCIÓN</t>
        </is>
      </c>
      <c r="C88" s="353" t="inlineStr">
        <is>
          <t>Uno o varios parametros se encuentran dentro de lo tolerable, por lo cual se debe tomar una accion preventiva.</t>
        </is>
      </c>
      <c r="O88" s="52" t="n"/>
    </row>
    <row r="89" ht="36.75" customHeight="1" thickBot="1">
      <c r="A89" s="51" t="n"/>
      <c r="B89" s="46" t="inlineStr">
        <is>
          <t>PARAMETROS ANORMALES</t>
        </is>
      </c>
      <c r="C89" s="355" t="inlineStr">
        <is>
          <t>Uno o varios parametros se encuentra fuera de los rangos generales</t>
        </is>
      </c>
      <c r="O89" s="52" t="n"/>
    </row>
    <row r="90">
      <c r="A90" s="51" t="n"/>
      <c r="O90" s="52" t="n"/>
    </row>
    <row r="91">
      <c r="A91" s="51" t="n"/>
      <c r="O91" s="52" t="n"/>
    </row>
    <row r="92">
      <c r="A92" s="51" t="n"/>
      <c r="O92" s="52" t="n"/>
    </row>
    <row r="93">
      <c r="A93" s="51" t="n"/>
      <c r="O93" s="52" t="n"/>
    </row>
    <row r="94" ht="15.75" customHeight="1" thickBot="1">
      <c r="A94" s="55" t="n"/>
      <c r="B94" s="56" t="n"/>
      <c r="C94" s="56" t="n"/>
      <c r="D94" s="56" t="n"/>
      <c r="E94" s="56" t="n"/>
      <c r="F94" s="56" t="n"/>
      <c r="G94" s="56" t="n"/>
      <c r="H94" s="56" t="n"/>
      <c r="I94" s="56" t="n"/>
      <c r="J94" s="56" t="n"/>
      <c r="K94" s="56" t="n"/>
      <c r="L94" s="56" t="n"/>
      <c r="M94" s="56" t="n"/>
      <c r="N94" s="56" t="n"/>
      <c r="O94" s="57" t="n"/>
    </row>
    <row r="95" ht="15.75" customHeight="1" thickTop="1"/>
  </sheetData>
  <mergeCells count="12">
    <mergeCell ref="A83:O83"/>
    <mergeCell ref="C89:I89"/>
    <mergeCell ref="M1:O6"/>
    <mergeCell ref="A26:O26"/>
    <mergeCell ref="C88:I88"/>
    <mergeCell ref="C87:I87"/>
    <mergeCell ref="B1:L6"/>
    <mergeCell ref="A86:A87"/>
    <mergeCell ref="C86:I86"/>
    <mergeCell ref="A58:O58"/>
    <mergeCell ref="A9:O9"/>
    <mergeCell ref="A12:O13"/>
  </mergeCells>
  <printOptions horizontalCentered="1"/>
  <pageMargins left="0" right="0" top="0" bottom="0" header="0" footer="0"/>
  <pageSetup orientation="portrait" paperSize="9" scale="51"/>
  <rowBreaks count="1" manualBreakCount="1">
    <brk id="94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Mariuxi Martillo</dc:creator>
  <dcterms:created xsi:type="dcterms:W3CDTF">2012-06-21T13:50:43Z</dcterms:created>
  <dcterms:modified xsi:type="dcterms:W3CDTF">2026-03-28T19:09:13Z</dcterms:modified>
  <cp:lastModifiedBy>DESM Drubber Elian Sanchez Macias</cp:lastModifiedBy>
  <cp:lastPrinted>2021-09-19T17:21:01Z</cp:lastPrinted>
</cp:coreProperties>
</file>